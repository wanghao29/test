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390" tabRatio="580"/>
  </bookViews>
  <sheets>
    <sheet name="2019地市KPI导入模板" sheetId="11" r:id="rId1"/>
  </sheets>
  <externalReferences>
    <externalReference r:id="rId2"/>
    <externalReference r:id="rId3"/>
  </externalReferences>
  <calcPr calcId="144525"/>
</workbook>
</file>

<file path=xl/sharedStrings.xml><?xml version="1.0" encoding="utf-8"?>
<sst xmlns="http://schemas.openxmlformats.org/spreadsheetml/2006/main" count="161" uniqueCount="103">
  <si>
    <t>考核对象</t>
  </si>
  <si>
    <t>利润类指标（20分）</t>
  </si>
  <si>
    <t>规模类指标（50分）</t>
  </si>
  <si>
    <t>重点产品指标（9分）</t>
  </si>
  <si>
    <t>渠道质量指标（16分）</t>
  </si>
  <si>
    <t>铁通指标（5分）</t>
  </si>
  <si>
    <t>加减分类</t>
  </si>
  <si>
    <t>kpi直接总分（加总）</t>
  </si>
  <si>
    <t>重点系数</t>
  </si>
  <si>
    <t>考虑重点系数后的KPI总分（最终考核得分是=1-14项得分*70%+1-14项得分*30%*完成率）</t>
  </si>
  <si>
    <t>运营中心</t>
  </si>
  <si>
    <t>地市</t>
  </si>
  <si>
    <t>直接毛利率-2季度指标</t>
  </si>
  <si>
    <t>直接毛利率-完成</t>
  </si>
  <si>
    <t>直接毛利率-完成比率</t>
  </si>
  <si>
    <t>直接毛利率-得分</t>
  </si>
  <si>
    <t>直接净利率-2季度指标</t>
  </si>
  <si>
    <t>直接净利率-完成</t>
  </si>
  <si>
    <t>直接净利率-完成比率</t>
  </si>
  <si>
    <t>直接净利率-得分</t>
  </si>
  <si>
    <t>二季度基本目标</t>
  </si>
  <si>
    <t>运营收入-1-3月累计完成</t>
  </si>
  <si>
    <t>完成（万元）</t>
  </si>
  <si>
    <t>运营收入-时间进度</t>
  </si>
  <si>
    <t>运营收入-2季度指标（万元）</t>
  </si>
  <si>
    <t>运营收入-完成（万元）</t>
  </si>
  <si>
    <t>得分</t>
  </si>
  <si>
    <t>自有品牌手机收入-全年指标
（万元）</t>
  </si>
  <si>
    <t>自有品牌手机收入-1-3月累计完成</t>
  </si>
  <si>
    <t>自有品牌手机收入-时间进度完成率</t>
  </si>
  <si>
    <t>自有品牌手机收入-时间进度</t>
  </si>
  <si>
    <t>2季度指标（万元）</t>
  </si>
  <si>
    <t>自有品牌智能硬件收入-全年指标（万元）</t>
  </si>
  <si>
    <t>自有品牌智能硬件收入-1-3月累计完成</t>
  </si>
  <si>
    <t>自有品牌智能硬件收入-时间进度完成率</t>
  </si>
  <si>
    <t>自有品牌智能硬件收入-时间进度</t>
  </si>
  <si>
    <t>2季度基本目标</t>
  </si>
  <si>
    <t>非集团集采类别自有品牌智能硬件收入-全年指标（万元）</t>
  </si>
  <si>
    <t>2019年第2季度
家庭智能硬件销售收入
（万元）</t>
  </si>
  <si>
    <t>重点产品</t>
  </si>
  <si>
    <t>重点产品得分</t>
  </si>
  <si>
    <t>优质客户目标值-全年目标值（个）</t>
  </si>
  <si>
    <t>优质客户目标值-2季度指标</t>
  </si>
  <si>
    <t>优质客户目标值-2季度完成</t>
  </si>
  <si>
    <t>优质客户目标值-2季度完成率</t>
  </si>
  <si>
    <t>优质客户2季度得分</t>
  </si>
  <si>
    <t>KA客户手机销量目标值-全年目标值（台）</t>
  </si>
  <si>
    <t>2季度指标</t>
  </si>
  <si>
    <t>KA客户手机销量目标值-1季度完成</t>
  </si>
  <si>
    <t>2季度完成率</t>
  </si>
  <si>
    <t>2季度得分</t>
  </si>
  <si>
    <t>铁通终端销量-全年（万台）</t>
  </si>
  <si>
    <t>2季度铁通终端销量指标（万台）</t>
  </si>
  <si>
    <t>新零售厅店建设-厅店（个）</t>
  </si>
  <si>
    <t>新零售厅店建设-得分</t>
  </si>
  <si>
    <t>售后净利率-
年度指标</t>
  </si>
  <si>
    <t>售后净利率-2季度指标</t>
  </si>
  <si>
    <t>售后净利率-2季度完成</t>
  </si>
  <si>
    <t>售后净利率-2季度得分</t>
  </si>
  <si>
    <t>直接净利率-值</t>
  </si>
  <si>
    <t>直接净利率-1季度得分</t>
  </si>
  <si>
    <t>三个月以上应收账款占比-值</t>
  </si>
  <si>
    <t>三个月以上应收账款占比-2季度得分</t>
  </si>
  <si>
    <t>重大事项扣分项-值</t>
  </si>
  <si>
    <t>kpi直接总分（加总）-值</t>
  </si>
  <si>
    <t>1季度重点系数A（权重50%):自主品牌手机收入指标/万元-值</t>
  </si>
  <si>
    <t>2季度重点系数A完成率</t>
  </si>
  <si>
    <t>1季度重点系数B（权重50%):智能音箱发展目标/万台-值</t>
  </si>
  <si>
    <t>2季度重点系数B完成率</t>
  </si>
  <si>
    <t>系数B完成值</t>
  </si>
  <si>
    <t>广州运营中心</t>
  </si>
  <si>
    <t>广州</t>
  </si>
  <si>
    <t>待发文后录入</t>
  </si>
  <si>
    <t>肇庆</t>
  </si>
  <si>
    <t>清远</t>
  </si>
  <si>
    <t>韶关</t>
  </si>
  <si>
    <t>云浮</t>
  </si>
  <si>
    <t>合计1</t>
  </si>
  <si>
    <t>深圳运营中心</t>
  </si>
  <si>
    <t>深圳</t>
  </si>
  <si>
    <t>汕头</t>
  </si>
  <si>
    <t>揭阳</t>
  </si>
  <si>
    <t>梅州</t>
  </si>
  <si>
    <t>潮州</t>
  </si>
  <si>
    <t>汕尾</t>
  </si>
  <si>
    <t>合计2</t>
  </si>
  <si>
    <t>东莞运营中心</t>
  </si>
  <si>
    <t>东莞</t>
  </si>
  <si>
    <t>中山</t>
  </si>
  <si>
    <t>惠州</t>
  </si>
  <si>
    <t>珠海</t>
  </si>
  <si>
    <t>河源</t>
  </si>
  <si>
    <t>合计3</t>
  </si>
  <si>
    <t>佛山运营中心</t>
  </si>
  <si>
    <t>佛山</t>
  </si>
  <si>
    <t>江门</t>
  </si>
  <si>
    <t>湛江</t>
  </si>
  <si>
    <t>茂名</t>
  </si>
  <si>
    <t>阳江</t>
  </si>
  <si>
    <t>合计4</t>
  </si>
  <si>
    <t>全省</t>
  </si>
  <si>
    <t>全省合计</t>
  </si>
  <si>
    <t>分值</t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</si>
</sst>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5" formatCode="&quot;￥&quot;#,##0;&quot;￥&quot;\-#,##0"/>
    <numFmt numFmtId="7" formatCode="&quot;￥&quot;#,##0.00;&quot;￥&quot;\-#,##0.00"/>
    <numFmt numFmtId="176" formatCode="0_ "/>
    <numFmt numFmtId="177" formatCode="0.00_);[Red]\(0.00\)"/>
    <numFmt numFmtId="178" formatCode="0.0%"/>
    <numFmt numFmtId="179" formatCode="0.00_ "/>
    <numFmt numFmtId="180" formatCode="_ [$€]* #,##0.00_ ;_ [$€]* \-#,##0.00_ ;_ [$€]* &quot;-&quot;??_ ;_ @_ "/>
    <numFmt numFmtId="181" formatCode="0_);[Red]\(0\)"/>
    <numFmt numFmtId="182" formatCode="_ * #,##0_ ;_ * \-#,##0_ ;_ * &quot;-&quot;??_ ;_ @_ "/>
    <numFmt numFmtId="183" formatCode="0_ ;[Red]\-0\ "/>
  </numFmts>
  <fonts count="36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FF0000"/>
      <name val="Calibri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1"/>
      <color theme="0"/>
      <name val="宋体"/>
      <charset val="134"/>
    </font>
    <font>
      <sz val="11"/>
      <color rgb="FF000000"/>
      <name val="Arial"/>
      <charset val="134"/>
    </font>
    <font>
      <sz val="12"/>
      <color theme="1"/>
      <name val="Calibri"/>
      <charset val="134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Helv"/>
      <charset val="134"/>
    </font>
    <font>
      <sz val="11"/>
      <color rgb="FF9C6500"/>
      <name val="宋体"/>
      <charset val="134"/>
      <scheme val="minor"/>
    </font>
    <font>
      <sz val="11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1"/>
        <bgColor theme="0" tint="-0.1499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theme="7" tint="0.39998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theme="7" tint="0.59999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8" tint="0.39998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9" tint="0.39998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5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5" borderId="9" applyNumberFormat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2" borderId="10" applyNumberFormat="0" applyAlignment="0" applyProtection="0">
      <alignment vertical="center"/>
    </xf>
    <xf numFmtId="0" fontId="27" fillId="22" borderId="9" applyNumberFormat="0" applyAlignment="0" applyProtection="0">
      <alignment vertical="center"/>
    </xf>
    <xf numFmtId="0" fontId="32" fillId="26" borderId="14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3" fillId="0" borderId="0"/>
    <xf numFmtId="0" fontId="21" fillId="17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0" fillId="0" borderId="0"/>
  </cellStyleXfs>
  <cellXfs count="121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178" fontId="0" fillId="0" borderId="0" xfId="0" applyNumberFormat="1" applyAlignment="1"/>
    <xf numFmtId="177" fontId="0" fillId="0" borderId="0" xfId="0" applyNumberFormat="1" applyAlignment="1"/>
    <xf numFmtId="176" fontId="0" fillId="0" borderId="0" xfId="0" applyNumberFormat="1" applyAlignment="1"/>
    <xf numFmtId="43" fontId="0" fillId="0" borderId="0" xfId="8" applyAlignment="1"/>
    <xf numFmtId="10" fontId="0" fillId="0" borderId="0" xfId="0" applyNumberFormat="1" applyAlignment="1"/>
    <xf numFmtId="179" fontId="0" fillId="0" borderId="0" xfId="0" applyNumberFormat="1" applyAlignment="1"/>
    <xf numFmtId="0" fontId="2" fillId="2" borderId="1" xfId="50" applyNumberFormat="1" applyFont="1" applyFill="1" applyBorder="1" applyAlignment="1">
      <alignment vertical="center"/>
    </xf>
    <xf numFmtId="0" fontId="3" fillId="2" borderId="1" xfId="50" applyNumberFormat="1" applyFont="1" applyFill="1" applyBorder="1" applyAlignment="1">
      <alignment vertical="center" wrapText="1"/>
    </xf>
    <xf numFmtId="0" fontId="3" fillId="3" borderId="1" xfId="50" applyNumberFormat="1" applyFont="1" applyFill="1" applyBorder="1" applyAlignment="1">
      <alignment vertical="center" wrapText="1"/>
    </xf>
    <xf numFmtId="0" fontId="3" fillId="3" borderId="1" xfId="50" applyNumberFormat="1" applyFont="1" applyFill="1" applyBorder="1" applyAlignment="1">
      <alignment horizontal="center" vertical="center" wrapText="1"/>
    </xf>
    <xf numFmtId="0" fontId="3" fillId="2" borderId="1" xfId="50" applyNumberFormat="1" applyFont="1" applyFill="1" applyBorder="1" applyAlignment="1">
      <alignment horizontal="center" vertical="center" wrapText="1"/>
    </xf>
    <xf numFmtId="0" fontId="4" fillId="0" borderId="2" xfId="50" applyFont="1" applyFill="1" applyBorder="1" applyAlignment="1">
      <alignment vertical="center"/>
    </xf>
    <xf numFmtId="0" fontId="4" fillId="0" borderId="3" xfId="5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9" fontId="6" fillId="0" borderId="1" xfId="1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0" fontId="4" fillId="0" borderId="4" xfId="50" applyFont="1" applyFill="1" applyBorder="1" applyAlignment="1">
      <alignment vertical="center"/>
    </xf>
    <xf numFmtId="0" fontId="4" fillId="0" borderId="1" xfId="5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9" fontId="8" fillId="0" borderId="1" xfId="1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/>
    <xf numFmtId="176" fontId="11" fillId="0" borderId="5" xfId="0" applyNumberFormat="1" applyFont="1" applyBorder="1" applyAlignment="1">
      <alignment horizontal="center" vertical="center"/>
    </xf>
    <xf numFmtId="180" fontId="9" fillId="5" borderId="4" xfId="50" applyNumberFormat="1" applyFont="1" applyFill="1" applyBorder="1" applyAlignment="1">
      <alignment vertical="center" wrapText="1"/>
    </xf>
    <xf numFmtId="180" fontId="9" fillId="5" borderId="1" xfId="50" applyNumberFormat="1" applyFont="1" applyFill="1" applyBorder="1" applyAlignment="1">
      <alignment horizontal="center" vertical="center" wrapText="1"/>
    </xf>
    <xf numFmtId="178" fontId="3" fillId="2" borderId="1" xfId="50" applyNumberFormat="1" applyFont="1" applyFill="1" applyBorder="1" applyAlignment="1">
      <alignment vertical="center" wrapText="1"/>
    </xf>
    <xf numFmtId="0" fontId="9" fillId="2" borderId="1" xfId="50" applyNumberFormat="1" applyFont="1" applyFill="1" applyBorder="1" applyAlignment="1">
      <alignment horizontal="center" vertical="center" wrapText="1"/>
    </xf>
    <xf numFmtId="181" fontId="5" fillId="0" borderId="1" xfId="0" applyNumberFormat="1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43" fontId="5" fillId="0" borderId="1" xfId="8" applyFont="1" applyFill="1" applyBorder="1" applyAlignment="1">
      <alignment horizontal="center" vertical="center"/>
    </xf>
    <xf numFmtId="181" fontId="5" fillId="0" borderId="3" xfId="0" applyNumberFormat="1" applyFont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9" fontId="6" fillId="6" borderId="1" xfId="1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6" fontId="3" fillId="2" borderId="1" xfId="50" applyNumberFormat="1" applyFont="1" applyFill="1" applyBorder="1" applyAlignment="1">
      <alignment vertical="center" wrapText="1"/>
    </xf>
    <xf numFmtId="43" fontId="5" fillId="0" borderId="3" xfId="8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10" fillId="0" borderId="5" xfId="0" applyNumberFormat="1" applyFont="1" applyBorder="1" applyAlignment="1"/>
    <xf numFmtId="1" fontId="11" fillId="0" borderId="5" xfId="0" applyNumberFormat="1" applyFont="1" applyBorder="1" applyAlignment="1">
      <alignment horizontal="center" vertical="center"/>
    </xf>
    <xf numFmtId="43" fontId="7" fillId="0" borderId="1" xfId="8" applyFont="1" applyBorder="1" applyAlignment="1">
      <alignment horizontal="center" vertical="center"/>
    </xf>
    <xf numFmtId="0" fontId="0" fillId="0" borderId="5" xfId="0" applyBorder="1" applyAlignment="1"/>
    <xf numFmtId="43" fontId="3" fillId="3" borderId="1" xfId="8" applyFont="1" applyFill="1" applyBorder="1" applyAlignment="1">
      <alignment vertical="center" wrapText="1"/>
    </xf>
    <xf numFmtId="179" fontId="9" fillId="3" borderId="1" xfId="5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43" fontId="5" fillId="0" borderId="3" xfId="8" applyFont="1" applyBorder="1" applyAlignment="1">
      <alignment horizontal="center" vertical="center"/>
    </xf>
    <xf numFmtId="9" fontId="5" fillId="0" borderId="2" xfId="11" applyNumberFormat="1" applyFont="1" applyFill="1" applyBorder="1" applyAlignment="1">
      <alignment vertical="center" wrapText="1"/>
    </xf>
    <xf numFmtId="43" fontId="12" fillId="0" borderId="5" xfId="11" applyNumberFormat="1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43" fontId="5" fillId="0" borderId="1" xfId="8" applyFont="1" applyBorder="1" applyAlignment="1">
      <alignment horizontal="center" vertical="center"/>
    </xf>
    <xf numFmtId="43" fontId="12" fillId="0" borderId="5" xfId="11" applyNumberFormat="1" applyFont="1" applyBorder="1" applyAlignment="1">
      <alignment horizontal="center" vertical="center"/>
    </xf>
    <xf numFmtId="9" fontId="5" fillId="0" borderId="3" xfId="11" applyNumberFormat="1" applyFont="1" applyFill="1" applyBorder="1" applyAlignment="1">
      <alignment vertical="center" wrapText="1"/>
    </xf>
    <xf numFmtId="43" fontId="13" fillId="0" borderId="5" xfId="11" applyNumberFormat="1" applyFont="1" applyBorder="1" applyAlignment="1">
      <alignment horizontal="center" vertical="center"/>
    </xf>
    <xf numFmtId="0" fontId="9" fillId="2" borderId="1" xfId="50" applyNumberFormat="1" applyFont="1" applyFill="1" applyBorder="1" applyAlignment="1">
      <alignment vertical="center" wrapText="1"/>
    </xf>
    <xf numFmtId="10" fontId="9" fillId="3" borderId="1" xfId="50" applyNumberFormat="1" applyFont="1" applyFill="1" applyBorder="1" applyAlignment="1">
      <alignment vertical="center" wrapText="1"/>
    </xf>
    <xf numFmtId="0" fontId="9" fillId="3" borderId="1" xfId="5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43" fontId="5" fillId="0" borderId="3" xfId="8" applyFont="1" applyFill="1" applyBorder="1" applyAlignment="1">
      <alignment vertical="center"/>
    </xf>
    <xf numFmtId="179" fontId="5" fillId="0" borderId="3" xfId="8" applyNumberFormat="1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82" fontId="5" fillId="0" borderId="3" xfId="8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3" fontId="5" fillId="0" borderId="1" xfId="8" applyFont="1" applyFill="1" applyBorder="1" applyAlignment="1">
      <alignment vertical="center"/>
    </xf>
    <xf numFmtId="179" fontId="5" fillId="0" borderId="1" xfId="8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82" fontId="5" fillId="0" borderId="1" xfId="8" applyNumberFormat="1" applyFont="1" applyFill="1" applyBorder="1" applyAlignment="1">
      <alignment vertical="center"/>
    </xf>
    <xf numFmtId="176" fontId="9" fillId="2" borderId="1" xfId="50" applyNumberFormat="1" applyFont="1" applyFill="1" applyBorder="1" applyAlignment="1">
      <alignment vertical="center" wrapText="1"/>
    </xf>
    <xf numFmtId="176" fontId="9" fillId="3" borderId="1" xfId="50" applyNumberFormat="1" applyFont="1" applyFill="1" applyBorder="1" applyAlignment="1">
      <alignment vertical="center" wrapText="1"/>
    </xf>
    <xf numFmtId="0" fontId="14" fillId="2" borderId="1" xfId="50" applyNumberFormat="1" applyFont="1" applyFill="1" applyBorder="1" applyAlignment="1">
      <alignment vertical="center" wrapText="1"/>
    </xf>
    <xf numFmtId="179" fontId="5" fillId="0" borderId="3" xfId="0" applyNumberFormat="1" applyFont="1" applyBorder="1" applyAlignment="1">
      <alignment horizontal="center" vertical="center"/>
    </xf>
    <xf numFmtId="43" fontId="5" fillId="0" borderId="3" xfId="8" applyNumberFormat="1" applyFont="1" applyFill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center" vertical="center"/>
    </xf>
    <xf numFmtId="43" fontId="5" fillId="0" borderId="1" xfId="8" applyNumberFormat="1" applyFont="1" applyFill="1" applyBorder="1" applyAlignment="1">
      <alignment horizontal="left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179" fontId="9" fillId="2" borderId="1" xfId="50" applyNumberFormat="1" applyFont="1" applyFill="1" applyBorder="1" applyAlignment="1">
      <alignment vertical="center" wrapText="1"/>
    </xf>
    <xf numFmtId="179" fontId="5" fillId="0" borderId="3" xfId="8" applyNumberFormat="1" applyFont="1" applyFill="1" applyBorder="1" applyAlignment="1">
      <alignment vertical="center" wrapText="1"/>
    </xf>
    <xf numFmtId="0" fontId="4" fillId="0" borderId="3" xfId="50" applyFont="1" applyFill="1" applyBorder="1" applyAlignment="1">
      <alignment horizontal="center" vertical="center" wrapText="1"/>
    </xf>
    <xf numFmtId="9" fontId="4" fillId="0" borderId="3" xfId="50" applyNumberFormat="1" applyFont="1" applyFill="1" applyBorder="1" applyAlignment="1">
      <alignment vertical="center" wrapText="1"/>
    </xf>
    <xf numFmtId="10" fontId="4" fillId="0" borderId="3" xfId="50" applyNumberFormat="1" applyFont="1" applyFill="1" applyBorder="1" applyAlignment="1">
      <alignment horizontal="center" vertical="center" wrapText="1"/>
    </xf>
    <xf numFmtId="179" fontId="4" fillId="0" borderId="3" xfId="50" applyNumberFormat="1" applyFont="1" applyFill="1" applyBorder="1" applyAlignment="1">
      <alignment horizontal="center" vertical="center" wrapText="1"/>
    </xf>
    <xf numFmtId="179" fontId="5" fillId="0" borderId="1" xfId="8" applyNumberFormat="1" applyFont="1" applyFill="1" applyBorder="1" applyAlignment="1">
      <alignment vertical="center" wrapText="1"/>
    </xf>
    <xf numFmtId="0" fontId="4" fillId="0" borderId="1" xfId="50" applyFont="1" applyFill="1" applyBorder="1" applyAlignment="1">
      <alignment horizontal="center" vertical="center" wrapText="1"/>
    </xf>
    <xf numFmtId="9" fontId="4" fillId="0" borderId="1" xfId="50" applyNumberFormat="1" applyFont="1" applyFill="1" applyBorder="1" applyAlignment="1">
      <alignment vertical="center" wrapText="1"/>
    </xf>
    <xf numFmtId="10" fontId="4" fillId="0" borderId="1" xfId="50" applyNumberFormat="1" applyFont="1" applyFill="1" applyBorder="1" applyAlignment="1">
      <alignment horizontal="center" vertical="center" wrapText="1"/>
    </xf>
    <xf numFmtId="179" fontId="4" fillId="0" borderId="1" xfId="50" applyNumberFormat="1" applyFont="1" applyFill="1" applyBorder="1" applyAlignment="1">
      <alignment horizontal="center" vertical="center" wrapText="1"/>
    </xf>
    <xf numFmtId="0" fontId="4" fillId="0" borderId="1" xfId="50" applyNumberFormat="1" applyFont="1" applyFill="1" applyBorder="1" applyAlignment="1" applyProtection="1">
      <alignment vertical="center" wrapText="1"/>
    </xf>
    <xf numFmtId="9" fontId="4" fillId="0" borderId="1" xfId="50" applyNumberFormat="1" applyFont="1" applyFill="1" applyBorder="1" applyAlignment="1">
      <alignment horizontal="center" vertical="center" wrapText="1"/>
    </xf>
    <xf numFmtId="0" fontId="15" fillId="0" borderId="1" xfId="50" applyFill="1" applyBorder="1" applyAlignment="1">
      <alignment vertical="center"/>
    </xf>
    <xf numFmtId="179" fontId="10" fillId="0" borderId="5" xfId="0" applyNumberFormat="1" applyFont="1" applyBorder="1" applyAlignment="1"/>
    <xf numFmtId="10" fontId="10" fillId="0" borderId="5" xfId="0" applyNumberFormat="1" applyFont="1" applyBorder="1" applyAlignment="1"/>
    <xf numFmtId="0" fontId="3" fillId="2" borderId="1" xfId="50" applyNumberFormat="1" applyFont="1" applyFill="1" applyBorder="1" applyAlignment="1">
      <alignment vertical="center"/>
    </xf>
    <xf numFmtId="9" fontId="5" fillId="0" borderId="3" xfId="11" applyNumberFormat="1" applyFont="1" applyFill="1" applyBorder="1" applyAlignment="1">
      <alignment horizontal="center" vertical="center" wrapText="1"/>
    </xf>
    <xf numFmtId="179" fontId="0" fillId="0" borderId="3" xfId="0" applyNumberFormat="1" applyBorder="1" applyAlignment="1"/>
    <xf numFmtId="177" fontId="5" fillId="0" borderId="3" xfId="0" applyNumberFormat="1" applyFont="1" applyBorder="1" applyAlignment="1">
      <alignment horizontal="center" vertical="center"/>
    </xf>
    <xf numFmtId="10" fontId="0" fillId="0" borderId="3" xfId="0" applyNumberFormat="1" applyBorder="1" applyAlignment="1"/>
    <xf numFmtId="9" fontId="0" fillId="0" borderId="3" xfId="0" applyNumberFormat="1" applyBorder="1" applyAlignment="1"/>
    <xf numFmtId="177" fontId="0" fillId="0" borderId="3" xfId="0" applyNumberFormat="1" applyBorder="1" applyAlignment="1"/>
    <xf numFmtId="43" fontId="0" fillId="0" borderId="3" xfId="0" applyNumberFormat="1" applyBorder="1" applyAlignment="1"/>
    <xf numFmtId="179" fontId="0" fillId="0" borderId="1" xfId="0" applyNumberFormat="1" applyBorder="1" applyAlignment="1"/>
    <xf numFmtId="177" fontId="5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/>
    <xf numFmtId="9" fontId="0" fillId="0" borderId="1" xfId="0" applyNumberFormat="1" applyBorder="1" applyAlignment="1"/>
    <xf numFmtId="177" fontId="0" fillId="0" borderId="1" xfId="0" applyNumberFormat="1" applyBorder="1" applyAlignment="1"/>
    <xf numFmtId="43" fontId="0" fillId="0" borderId="1" xfId="0" applyNumberFormat="1" applyBorder="1" applyAlignment="1"/>
    <xf numFmtId="9" fontId="16" fillId="0" borderId="1" xfId="11" applyFont="1" applyFill="1" applyBorder="1" applyAlignment="1">
      <alignment vertical="center"/>
    </xf>
    <xf numFmtId="183" fontId="5" fillId="0" borderId="1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样式 1 2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2 2 2 2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2823;&#25968;&#25454;&#24120;&#29992;&#25991;&#20214;\2019&#24180;&#22320;&#24066;KPI&#23395;&#23548;&#20837;&#27169;&#26495;&#65288;&#24494;&#35843;&#29256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h15556870880\FileStorage\File\2019-10\&#12304;&#36824;&#21407;&#26757;&#24030;&#27611;&#21033;&#21033;&#28070;&#21518;&#12305;2019&#24180;&#31532;2&#23395;&#24230;&#22320;&#24066;&#32771;&#26680;&#28165;&#31639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自有品牌手机收入"/>
      <sheetName val="自有品牌智能硬件收入（已加配额制摊分）"/>
      <sheetName val="非配额自有品牌智能硬件收入"/>
      <sheetName val="重点产品"/>
      <sheetName val="渠道类指标"/>
    </sheetNames>
    <sheetDataSet>
      <sheetData sheetId="0"/>
      <sheetData sheetId="1">
        <row r="2">
          <cell r="F2">
            <v>0</v>
          </cell>
          <cell r="G2">
            <v>919710.36</v>
          </cell>
        </row>
        <row r="3">
          <cell r="F3">
            <v>0</v>
          </cell>
          <cell r="G3">
            <v>227408.7</v>
          </cell>
        </row>
        <row r="4">
          <cell r="F4">
            <v>0</v>
          </cell>
          <cell r="G4">
            <v>356946.75</v>
          </cell>
        </row>
        <row r="5">
          <cell r="F5">
            <v>0</v>
          </cell>
          <cell r="G5">
            <v>509687.54</v>
          </cell>
        </row>
        <row r="6">
          <cell r="F6">
            <v>0</v>
          </cell>
          <cell r="G6">
            <v>90067.24</v>
          </cell>
        </row>
        <row r="7">
          <cell r="F7">
            <v>0</v>
          </cell>
          <cell r="G7">
            <v>1068902.43</v>
          </cell>
        </row>
        <row r="8">
          <cell r="F8">
            <v>0</v>
          </cell>
          <cell r="G8">
            <v>479671.760000001</v>
          </cell>
        </row>
        <row r="9">
          <cell r="F9">
            <v>0</v>
          </cell>
          <cell r="G9">
            <v>649931.7</v>
          </cell>
        </row>
        <row r="10">
          <cell r="F10">
            <v>0</v>
          </cell>
          <cell r="G10">
            <v>1327650.17000001</v>
          </cell>
        </row>
        <row r="11">
          <cell r="F11">
            <v>0</v>
          </cell>
          <cell r="G11">
            <v>1231797.49</v>
          </cell>
        </row>
        <row r="12">
          <cell r="F12">
            <v>0</v>
          </cell>
          <cell r="G12">
            <v>1771463.61999998</v>
          </cell>
        </row>
        <row r="13">
          <cell r="F13">
            <v>0</v>
          </cell>
          <cell r="G13">
            <v>2752081.78000001</v>
          </cell>
        </row>
        <row r="14">
          <cell r="F14">
            <v>0</v>
          </cell>
          <cell r="G14">
            <v>239766.44</v>
          </cell>
        </row>
        <row r="15">
          <cell r="F15">
            <v>0</v>
          </cell>
          <cell r="G15">
            <v>558548.299999999</v>
          </cell>
        </row>
        <row r="16">
          <cell r="F16">
            <v>0</v>
          </cell>
          <cell r="G16">
            <v>249557.66</v>
          </cell>
        </row>
        <row r="17">
          <cell r="F17">
            <v>0</v>
          </cell>
          <cell r="G17">
            <v>1276337.9</v>
          </cell>
        </row>
        <row r="18">
          <cell r="F18">
            <v>0</v>
          </cell>
          <cell r="G18">
            <v>277812.48</v>
          </cell>
        </row>
        <row r="19">
          <cell r="F19">
            <v>0</v>
          </cell>
          <cell r="G19">
            <v>105826.06</v>
          </cell>
        </row>
        <row r="20">
          <cell r="F20">
            <v>0</v>
          </cell>
          <cell r="G20">
            <v>1312338.16000001</v>
          </cell>
        </row>
        <row r="21">
          <cell r="F21">
            <v>0</v>
          </cell>
          <cell r="G21">
            <v>263763.98</v>
          </cell>
        </row>
        <row r="22">
          <cell r="F22">
            <v>0</v>
          </cell>
          <cell r="G22">
            <v>39377.01</v>
          </cell>
        </row>
        <row r="23">
          <cell r="F23">
            <v>0</v>
          </cell>
          <cell r="G23">
            <v>15708647.53</v>
          </cell>
        </row>
      </sheetData>
      <sheetData sheetId="2">
        <row r="2">
          <cell r="H2">
            <v>0</v>
          </cell>
          <cell r="I2">
            <v>8508473.63517243</v>
          </cell>
        </row>
        <row r="3">
          <cell r="H3">
            <v>0</v>
          </cell>
          <cell r="I3">
            <v>26797864.0782759</v>
          </cell>
        </row>
        <row r="4">
          <cell r="H4">
            <v>0</v>
          </cell>
          <cell r="I4">
            <v>18451953.0262069</v>
          </cell>
        </row>
        <row r="5">
          <cell r="H5">
            <v>0</v>
          </cell>
          <cell r="I5">
            <v>35079184.1827586</v>
          </cell>
        </row>
        <row r="6">
          <cell r="H6">
            <v>0</v>
          </cell>
          <cell r="I6">
            <v>1976462.19172414</v>
          </cell>
        </row>
        <row r="7">
          <cell r="H7">
            <v>0</v>
          </cell>
          <cell r="I7">
            <v>18698368.9458621</v>
          </cell>
        </row>
        <row r="8">
          <cell r="H8">
            <v>0</v>
          </cell>
          <cell r="I8">
            <v>17365673.8427586</v>
          </cell>
        </row>
        <row r="9">
          <cell r="H9">
            <v>0</v>
          </cell>
          <cell r="I9">
            <v>17299065.2568966</v>
          </cell>
        </row>
        <row r="10">
          <cell r="H10">
            <v>0</v>
          </cell>
          <cell r="I10">
            <v>16736910.1203448</v>
          </cell>
        </row>
        <row r="11">
          <cell r="H11">
            <v>0</v>
          </cell>
          <cell r="I11">
            <v>10970641.3844828</v>
          </cell>
        </row>
        <row r="12">
          <cell r="H12">
            <v>0</v>
          </cell>
          <cell r="I12">
            <v>9866695.72379311</v>
          </cell>
        </row>
        <row r="13">
          <cell r="H13">
            <v>0</v>
          </cell>
          <cell r="I13">
            <v>22423934.6124138</v>
          </cell>
        </row>
        <row r="14">
          <cell r="H14">
            <v>0</v>
          </cell>
          <cell r="I14">
            <v>4537472.41517241</v>
          </cell>
        </row>
        <row r="15">
          <cell r="H15">
            <v>0</v>
          </cell>
          <cell r="I15">
            <v>11478147.8334483</v>
          </cell>
        </row>
        <row r="16">
          <cell r="H16">
            <v>0</v>
          </cell>
          <cell r="I16">
            <v>30977941.1268966</v>
          </cell>
        </row>
        <row r="17">
          <cell r="H17">
            <v>0</v>
          </cell>
          <cell r="I17">
            <v>5991364.61172414</v>
          </cell>
        </row>
        <row r="18">
          <cell r="H18">
            <v>0</v>
          </cell>
          <cell r="I18">
            <v>4777608.97793104</v>
          </cell>
        </row>
        <row r="19">
          <cell r="H19">
            <v>0</v>
          </cell>
          <cell r="I19">
            <v>23231477.8841379</v>
          </cell>
        </row>
        <row r="20">
          <cell r="H20">
            <v>0</v>
          </cell>
          <cell r="I20">
            <v>11852881.1406897</v>
          </cell>
        </row>
        <row r="21">
          <cell r="H21">
            <v>0</v>
          </cell>
          <cell r="I21">
            <v>3646707.69931035</v>
          </cell>
        </row>
        <row r="22">
          <cell r="H22">
            <v>0</v>
          </cell>
          <cell r="I22">
            <v>8079173.27965517</v>
          </cell>
        </row>
        <row r="23">
          <cell r="H23">
            <v>0</v>
          </cell>
          <cell r="I23">
            <v>308748001.969655</v>
          </cell>
        </row>
      </sheetData>
      <sheetData sheetId="3"/>
      <sheetData sheetId="4"/>
      <sheetData sheetId="5">
        <row r="2">
          <cell r="B2">
            <v>0</v>
          </cell>
          <cell r="C2">
            <v>40792</v>
          </cell>
          <cell r="D2">
            <v>71</v>
          </cell>
          <cell r="E2">
            <v>4553</v>
          </cell>
          <cell r="F2">
            <v>77</v>
          </cell>
        </row>
        <row r="3">
          <cell r="B3">
            <v>0</v>
          </cell>
          <cell r="C3">
            <v>6407</v>
          </cell>
          <cell r="D3">
            <v>10</v>
          </cell>
          <cell r="E3">
            <v>2509</v>
          </cell>
          <cell r="F3">
            <v>10</v>
          </cell>
        </row>
        <row r="4">
          <cell r="B4">
            <v>0</v>
          </cell>
          <cell r="C4">
            <v>5621</v>
          </cell>
          <cell r="D4">
            <v>10</v>
          </cell>
          <cell r="E4">
            <v>2075</v>
          </cell>
          <cell r="F4">
            <v>18</v>
          </cell>
        </row>
        <row r="5">
          <cell r="B5">
            <v>0</v>
          </cell>
          <cell r="C5">
            <v>6997</v>
          </cell>
          <cell r="D5">
            <v>17</v>
          </cell>
          <cell r="E5">
            <v>4572</v>
          </cell>
          <cell r="F5">
            <v>26</v>
          </cell>
        </row>
        <row r="6">
          <cell r="B6">
            <v>0</v>
          </cell>
          <cell r="C6">
            <v>1338</v>
          </cell>
          <cell r="D6">
            <v>12</v>
          </cell>
          <cell r="E6">
            <v>2432</v>
          </cell>
          <cell r="F6">
            <v>8</v>
          </cell>
        </row>
        <row r="7">
          <cell r="B7">
            <v>0</v>
          </cell>
          <cell r="C7">
            <v>69423</v>
          </cell>
          <cell r="D7">
            <v>62</v>
          </cell>
          <cell r="E7">
            <v>5909</v>
          </cell>
          <cell r="F7">
            <v>82</v>
          </cell>
        </row>
        <row r="8">
          <cell r="B8">
            <v>0</v>
          </cell>
          <cell r="C8">
            <v>5860</v>
          </cell>
          <cell r="D8">
            <v>33</v>
          </cell>
          <cell r="E8">
            <v>2222</v>
          </cell>
          <cell r="F8">
            <v>42</v>
          </cell>
        </row>
        <row r="9">
          <cell r="B9">
            <v>0</v>
          </cell>
          <cell r="C9">
            <v>1161</v>
          </cell>
          <cell r="D9">
            <v>14</v>
          </cell>
          <cell r="E9">
            <v>1744</v>
          </cell>
          <cell r="F9">
            <v>13</v>
          </cell>
        </row>
        <row r="10">
          <cell r="B10">
            <v>0</v>
          </cell>
          <cell r="C10">
            <v>5101</v>
          </cell>
          <cell r="D10">
            <v>31</v>
          </cell>
          <cell r="E10">
            <v>16686</v>
          </cell>
          <cell r="F10">
            <v>35</v>
          </cell>
        </row>
        <row r="11">
          <cell r="B11">
            <v>0</v>
          </cell>
          <cell r="C11">
            <v>7516</v>
          </cell>
          <cell r="D11">
            <v>15</v>
          </cell>
          <cell r="E11">
            <v>6756</v>
          </cell>
          <cell r="F11">
            <v>17</v>
          </cell>
        </row>
        <row r="12">
          <cell r="B12">
            <v>0</v>
          </cell>
          <cell r="C12">
            <v>592</v>
          </cell>
          <cell r="D12">
            <v>10</v>
          </cell>
          <cell r="E12">
            <v>58</v>
          </cell>
          <cell r="F12">
            <v>12</v>
          </cell>
        </row>
        <row r="13">
          <cell r="B13">
            <v>0</v>
          </cell>
          <cell r="C13">
            <v>56733</v>
          </cell>
          <cell r="D13">
            <v>49</v>
          </cell>
          <cell r="E13">
            <v>8192</v>
          </cell>
          <cell r="F13">
            <v>131</v>
          </cell>
        </row>
        <row r="14">
          <cell r="B14">
            <v>0</v>
          </cell>
          <cell r="C14">
            <v>13432</v>
          </cell>
          <cell r="D14">
            <v>23</v>
          </cell>
          <cell r="E14">
            <v>9234</v>
          </cell>
          <cell r="F14">
            <v>39</v>
          </cell>
        </row>
        <row r="15">
          <cell r="B15">
            <v>0</v>
          </cell>
          <cell r="C15">
            <v>6715</v>
          </cell>
          <cell r="D15">
            <v>57</v>
          </cell>
          <cell r="E15">
            <v>7441</v>
          </cell>
          <cell r="F15">
            <v>113</v>
          </cell>
        </row>
        <row r="16">
          <cell r="B16">
            <v>0</v>
          </cell>
          <cell r="C16">
            <v>7986</v>
          </cell>
          <cell r="D16">
            <v>24</v>
          </cell>
          <cell r="E16">
            <v>8383</v>
          </cell>
          <cell r="F16">
            <v>28</v>
          </cell>
        </row>
        <row r="17">
          <cell r="B17">
            <v>0</v>
          </cell>
          <cell r="C17">
            <v>4369</v>
          </cell>
          <cell r="D17">
            <v>20</v>
          </cell>
          <cell r="E17">
            <v>1779</v>
          </cell>
          <cell r="F17">
            <v>46</v>
          </cell>
        </row>
        <row r="18">
          <cell r="B18">
            <v>0</v>
          </cell>
          <cell r="C18">
            <v>14117</v>
          </cell>
          <cell r="D18">
            <v>23</v>
          </cell>
          <cell r="E18">
            <v>24049</v>
          </cell>
          <cell r="F18">
            <v>38</v>
          </cell>
        </row>
        <row r="19">
          <cell r="B19">
            <v>0</v>
          </cell>
          <cell r="C19">
            <v>5139</v>
          </cell>
          <cell r="D19">
            <v>24</v>
          </cell>
          <cell r="E19">
            <v>5178</v>
          </cell>
          <cell r="F19">
            <v>30</v>
          </cell>
        </row>
        <row r="20">
          <cell r="B20">
            <v>0</v>
          </cell>
          <cell r="C20">
            <v>7984</v>
          </cell>
          <cell r="D20">
            <v>20</v>
          </cell>
          <cell r="E20">
            <v>3066</v>
          </cell>
          <cell r="F20">
            <v>33</v>
          </cell>
        </row>
        <row r="21">
          <cell r="B21">
            <v>0</v>
          </cell>
          <cell r="C21">
            <v>2931</v>
          </cell>
          <cell r="D21">
            <v>10</v>
          </cell>
          <cell r="E21">
            <v>5151</v>
          </cell>
          <cell r="F21">
            <v>12</v>
          </cell>
        </row>
        <row r="22">
          <cell r="B22">
            <v>0</v>
          </cell>
          <cell r="C22">
            <v>2891</v>
          </cell>
          <cell r="D22">
            <v>16</v>
          </cell>
          <cell r="E22">
            <v>1886</v>
          </cell>
          <cell r="F22">
            <v>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考核结果"/>
      <sheetName val="汇总表（计算过程）"/>
      <sheetName val="kpi报表"/>
      <sheetName val="政企报表"/>
      <sheetName val="重点产品"/>
      <sheetName val="2019年2季度虚拟核算"/>
      <sheetName val="自有品牌和音箱组网家庭硬件清单"/>
      <sheetName val="渠道类指标—销售部提供"/>
      <sheetName val="三个月以上应收账款占比"/>
      <sheetName val="售后净利率+铁通—售后提供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地市</v>
          </cell>
          <cell r="D1" t="str">
            <v>销量
（万台）</v>
          </cell>
          <cell r="E1" t="str">
            <v>收入
（万元）</v>
          </cell>
          <cell r="F1" t="str">
            <v>业务毛利
（万元）</v>
          </cell>
          <cell r="G1" t="str">
            <v>单台毛利
（元）</v>
          </cell>
          <cell r="H1" t="str">
            <v>毛利率</v>
          </cell>
          <cell r="I1" t="str">
            <v>归属费用</v>
          </cell>
          <cell r="J1" t="str">
            <v>直接利润
（万元）</v>
          </cell>
          <cell r="K1" t="str">
            <v>直接利润率</v>
          </cell>
          <cell r="L1" t="str">
            <v>苹果毛利</v>
          </cell>
          <cell r="M1" t="str">
            <v>苹果收入</v>
          </cell>
          <cell r="N1" t="str">
            <v>业务收入（修正）</v>
          </cell>
          <cell r="O1" t="str">
            <v>业务毛利（修正）</v>
          </cell>
          <cell r="P1" t="str">
            <v>净利润（修正）</v>
          </cell>
          <cell r="Q1" t="str">
            <v>毛利率（修正）</v>
          </cell>
          <cell r="R1" t="str">
            <v>净利率（修正）</v>
          </cell>
        </row>
        <row r="2">
          <cell r="C2" t="str">
            <v>广州</v>
          </cell>
          <cell r="D2">
            <v>14.37</v>
          </cell>
          <cell r="E2">
            <v>9527.55873817112</v>
          </cell>
          <cell r="F2">
            <v>900.677293578977</v>
          </cell>
          <cell r="G2">
            <v>62.6776126359761</v>
          </cell>
          <cell r="H2">
            <v>0.0945339009006066</v>
          </cell>
          <cell r="I2">
            <v>643.988643650501</v>
          </cell>
          <cell r="J2">
            <v>256.688649928476</v>
          </cell>
          <cell r="K2">
            <v>0.0269417021697364</v>
          </cell>
          <cell r="L2">
            <v>-23.0555177424477</v>
          </cell>
          <cell r="M2">
            <v>1913.73917296552</v>
          </cell>
          <cell r="N2">
            <v>7613.8195652056</v>
          </cell>
          <cell r="O2">
            <v>923.732811321425</v>
          </cell>
          <cell r="P2">
            <v>279.744167670924</v>
          </cell>
          <cell r="Q2">
            <v>0.121323181277212</v>
          </cell>
          <cell r="R2">
            <v>0.0367416334567905</v>
          </cell>
        </row>
        <row r="3">
          <cell r="C3" t="str">
            <v>韶关</v>
          </cell>
          <cell r="D3">
            <v>1.1261</v>
          </cell>
          <cell r="E3">
            <v>1328.98750092478</v>
          </cell>
          <cell r="F3">
            <v>87.8793937944392</v>
          </cell>
          <cell r="G3">
            <v>78.0387121875848</v>
          </cell>
          <cell r="H3">
            <v>0.0661250717055564</v>
          </cell>
          <cell r="I3">
            <v>101.029517894261</v>
          </cell>
          <cell r="J3">
            <v>-13.150124099822</v>
          </cell>
          <cell r="K3">
            <v>-0.00989484407541185</v>
          </cell>
          <cell r="L3">
            <v>-4.22513261946908</v>
          </cell>
          <cell r="M3">
            <v>404.562478</v>
          </cell>
          <cell r="N3">
            <v>924.425022924779</v>
          </cell>
          <cell r="O3">
            <v>92.1045264139083</v>
          </cell>
          <cell r="P3">
            <v>-8.92499148035287</v>
          </cell>
          <cell r="Q3">
            <v>0.0996343934119175</v>
          </cell>
          <cell r="R3">
            <v>-0.00965464073237133</v>
          </cell>
        </row>
        <row r="4">
          <cell r="C4" t="str">
            <v>肇庆</v>
          </cell>
          <cell r="D4">
            <v>0.7532</v>
          </cell>
          <cell r="E4">
            <v>1387.18287278768</v>
          </cell>
          <cell r="F4">
            <v>128.438947124386</v>
          </cell>
          <cell r="G4">
            <v>170.524358901202</v>
          </cell>
          <cell r="H4">
            <v>0.0925897728727542</v>
          </cell>
          <cell r="I4">
            <v>75.2897978692936</v>
          </cell>
          <cell r="J4">
            <v>53.149149255092</v>
          </cell>
          <cell r="K4">
            <v>0.0383144503134498</v>
          </cell>
          <cell r="L4">
            <v>3.76451399115037</v>
          </cell>
          <cell r="M4">
            <v>580.274337</v>
          </cell>
          <cell r="N4">
            <v>1387.18287278768</v>
          </cell>
          <cell r="O4">
            <v>128.438947124386</v>
          </cell>
          <cell r="P4">
            <v>53.149149255092</v>
          </cell>
          <cell r="Q4">
            <v>0.0925897728727542</v>
          </cell>
          <cell r="R4">
            <v>0.0383144503134498</v>
          </cell>
        </row>
        <row r="5">
          <cell r="C5" t="str">
            <v>清远</v>
          </cell>
          <cell r="D5">
            <v>2.654</v>
          </cell>
          <cell r="E5">
            <v>2026.1454507162</v>
          </cell>
          <cell r="F5">
            <v>177.286561524009</v>
          </cell>
          <cell r="G5">
            <v>66.7997594287902</v>
          </cell>
          <cell r="H5">
            <v>0.08749942481244</v>
          </cell>
          <cell r="I5">
            <v>77.0613759846663</v>
          </cell>
          <cell r="J5">
            <v>100.225185539343</v>
          </cell>
          <cell r="K5">
            <v>0.0494659381457119</v>
          </cell>
          <cell r="L5">
            <v>1.59188335947513</v>
          </cell>
          <cell r="M5">
            <v>6.69321079310345</v>
          </cell>
          <cell r="N5">
            <v>2026.1454507162</v>
          </cell>
          <cell r="O5">
            <v>177.286561524009</v>
          </cell>
          <cell r="P5">
            <v>100.225185539343</v>
          </cell>
          <cell r="Q5">
            <v>0.08749942481244</v>
          </cell>
          <cell r="R5">
            <v>0.0494659381457119</v>
          </cell>
        </row>
        <row r="6">
          <cell r="C6" t="str">
            <v>云浮</v>
          </cell>
          <cell r="D6">
            <v>0.7744</v>
          </cell>
          <cell r="E6">
            <v>1174.50776018274</v>
          </cell>
          <cell r="F6">
            <v>44.3415198694483</v>
          </cell>
          <cell r="G6">
            <v>57.2591940462917</v>
          </cell>
          <cell r="H6">
            <v>0.0377532796058744</v>
          </cell>
          <cell r="I6">
            <v>29.7305911490314</v>
          </cell>
          <cell r="J6">
            <v>14.6109287204169</v>
          </cell>
          <cell r="K6">
            <v>0.0124400444303097</v>
          </cell>
          <cell r="L6">
            <v>-2.93955755752215</v>
          </cell>
          <cell r="M6">
            <v>510.774779</v>
          </cell>
          <cell r="N6">
            <v>663.732981182741</v>
          </cell>
          <cell r="O6">
            <v>47.2810774269705</v>
          </cell>
          <cell r="P6">
            <v>17.550486277939</v>
          </cell>
          <cell r="Q6">
            <v>0.0712350881565623</v>
          </cell>
          <cell r="R6">
            <v>0.02644208857403</v>
          </cell>
        </row>
        <row r="7">
          <cell r="C7" t="str">
            <v>合计1</v>
          </cell>
          <cell r="D7">
            <v>19.6777</v>
          </cell>
          <cell r="E7">
            <v>15444.3823227825</v>
          </cell>
          <cell r="F7">
            <v>1338.62371589126</v>
          </cell>
          <cell r="G7">
            <v>68.0274481210334</v>
          </cell>
          <cell r="H7">
            <v>0.0866738266325233</v>
          </cell>
          <cell r="I7">
            <v>927.099926547753</v>
          </cell>
          <cell r="J7">
            <v>411.523789343506</v>
          </cell>
          <cell r="K7">
            <v>0.0266455323847075</v>
          </cell>
          <cell r="L7">
            <v>-24.8638105688134</v>
          </cell>
          <cell r="M7">
            <v>3416.04397775862</v>
          </cell>
          <cell r="N7">
            <v>12615.305892817</v>
          </cell>
          <cell r="O7">
            <v>1368.8439238107</v>
          </cell>
          <cell r="P7">
            <v>441.743997262945</v>
          </cell>
          <cell r="Q7">
            <v>0.108506597893128</v>
          </cell>
          <cell r="R7">
            <v>0.0350165109761206</v>
          </cell>
        </row>
        <row r="8">
          <cell r="C8" t="str">
            <v>深圳</v>
          </cell>
          <cell r="D8">
            <v>28.5421</v>
          </cell>
          <cell r="E8">
            <v>8947.21189250282</v>
          </cell>
          <cell r="F8">
            <v>1030.59033881864</v>
          </cell>
          <cell r="G8">
            <v>36.1077264398428</v>
          </cell>
          <cell r="H8">
            <v>0.115185641203178</v>
          </cell>
          <cell r="I8">
            <v>482.591009558405</v>
          </cell>
          <cell r="J8">
            <v>547.999329260232</v>
          </cell>
          <cell r="K8">
            <v>0.0612480553544752</v>
          </cell>
          <cell r="L8">
            <v>-6.70238586839623</v>
          </cell>
          <cell r="M8">
            <v>224.216331</v>
          </cell>
          <cell r="N8">
            <v>8722.99556150282</v>
          </cell>
          <cell r="O8">
            <v>1037.29272468703</v>
          </cell>
          <cell r="P8">
            <v>554.701715128628</v>
          </cell>
          <cell r="Q8">
            <v>0.118914737187866</v>
          </cell>
          <cell r="R8">
            <v>0.0635907368308992</v>
          </cell>
        </row>
        <row r="9">
          <cell r="C9" t="str">
            <v>汕头</v>
          </cell>
          <cell r="D9">
            <v>1.215</v>
          </cell>
          <cell r="E9">
            <v>2315.69161743318</v>
          </cell>
          <cell r="F9">
            <v>130.294112744947</v>
          </cell>
          <cell r="G9">
            <v>107.237952876499</v>
          </cell>
          <cell r="H9">
            <v>0.0562657444385322</v>
          </cell>
          <cell r="I9">
            <v>118.052679584643</v>
          </cell>
          <cell r="J9">
            <v>12.2414331603034</v>
          </cell>
          <cell r="K9">
            <v>0.00528629678846112</v>
          </cell>
          <cell r="L9">
            <v>-6.28629003539847</v>
          </cell>
          <cell r="M9">
            <v>1099.432206</v>
          </cell>
          <cell r="N9">
            <v>1216.25941143318</v>
          </cell>
          <cell r="O9">
            <v>136.580402780345</v>
          </cell>
          <cell r="P9">
            <v>18.5277231957018</v>
          </cell>
          <cell r="Q9">
            <v>0.112295453993162</v>
          </cell>
          <cell r="R9">
            <v>0.0152333647094823</v>
          </cell>
        </row>
        <row r="10">
          <cell r="C10" t="str">
            <v>揭阳</v>
          </cell>
          <cell r="D10">
            <v>0.8963</v>
          </cell>
          <cell r="E10">
            <v>1053.8858517324</v>
          </cell>
          <cell r="F10">
            <v>53.2705921767096</v>
          </cell>
          <cell r="G10">
            <v>59.4338861728324</v>
          </cell>
          <cell r="H10">
            <v>0.0505468330266911</v>
          </cell>
          <cell r="I10">
            <v>83.1194297125529</v>
          </cell>
          <cell r="J10">
            <v>-29.8488375358433</v>
          </cell>
          <cell r="K10">
            <v>-0.0283226475493311</v>
          </cell>
          <cell r="L10">
            <v>-4.54389398230096</v>
          </cell>
          <cell r="M10">
            <v>446.04646</v>
          </cell>
          <cell r="N10">
            <v>607.839391732398</v>
          </cell>
          <cell r="O10">
            <v>57.8144861590106</v>
          </cell>
          <cell r="P10">
            <v>-25.3049435535423</v>
          </cell>
          <cell r="Q10">
            <v>0.0951147407446464</v>
          </cell>
          <cell r="R10">
            <v>-0.0416309701176505</v>
          </cell>
        </row>
        <row r="11">
          <cell r="C11" t="str">
            <v>梅州</v>
          </cell>
          <cell r="D11">
            <v>0.7942</v>
          </cell>
          <cell r="E11">
            <v>1902.11249182081</v>
          </cell>
          <cell r="F11">
            <v>23.3311259193776</v>
          </cell>
          <cell r="G11">
            <v>29.3768898506392</v>
          </cell>
          <cell r="H11">
            <v>0.012265902263774</v>
          </cell>
          <cell r="I11">
            <v>35.3219719391658</v>
          </cell>
          <cell r="J11">
            <v>-11.9908460197882</v>
          </cell>
          <cell r="K11">
            <v>-0.006303962605445</v>
          </cell>
          <cell r="L11">
            <v>-8.67584212389394</v>
          </cell>
          <cell r="M11">
            <v>853.55168</v>
          </cell>
          <cell r="N11">
            <v>1048.56081182081</v>
          </cell>
          <cell r="O11">
            <v>32.0069680432716</v>
          </cell>
          <cell r="P11">
            <v>-3.31500389589424</v>
          </cell>
          <cell r="Q11">
            <v>0.0305246655057535</v>
          </cell>
          <cell r="R11">
            <v>-0.00316147986699769</v>
          </cell>
        </row>
        <row r="12">
          <cell r="C12" t="str">
            <v>汕尾</v>
          </cell>
          <cell r="D12">
            <v>0.5328</v>
          </cell>
          <cell r="E12">
            <v>990.193362453731</v>
          </cell>
          <cell r="F12">
            <v>37.2954884209878</v>
          </cell>
          <cell r="G12">
            <v>69.9990398291813</v>
          </cell>
          <cell r="H12">
            <v>0.0376648539923237</v>
          </cell>
          <cell r="I12">
            <v>25.6402066553691</v>
          </cell>
          <cell r="J12">
            <v>11.6552817656187</v>
          </cell>
          <cell r="K12">
            <v>0.0117707128804989</v>
          </cell>
          <cell r="L12">
            <v>-5.34455593957883</v>
          </cell>
          <cell r="M12">
            <v>525.502169724138</v>
          </cell>
          <cell r="N12">
            <v>464.691192729593</v>
          </cell>
          <cell r="O12">
            <v>42.6400443605666</v>
          </cell>
          <cell r="P12">
            <v>16.9998377051975</v>
          </cell>
          <cell r="Q12">
            <v>0.0917599580704324</v>
          </cell>
          <cell r="R12">
            <v>0.0365830856516574</v>
          </cell>
        </row>
        <row r="13">
          <cell r="C13" t="str">
            <v>潮州</v>
          </cell>
          <cell r="D13">
            <v>0.7599</v>
          </cell>
          <cell r="E13">
            <v>592.196420732995</v>
          </cell>
          <cell r="F13">
            <v>40.6650665978446</v>
          </cell>
          <cell r="G13">
            <v>53.5137078534604</v>
          </cell>
          <cell r="H13">
            <v>0.0686682073280875</v>
          </cell>
          <cell r="I13">
            <v>38.636495504849</v>
          </cell>
          <cell r="J13">
            <v>2.02857109299558</v>
          </cell>
          <cell r="K13">
            <v>0.00342550380578913</v>
          </cell>
          <cell r="L13">
            <v>3.4694693097345</v>
          </cell>
          <cell r="M13">
            <v>77.125664</v>
          </cell>
          <cell r="N13">
            <v>592.196420732995</v>
          </cell>
          <cell r="O13">
            <v>40.6650665978446</v>
          </cell>
          <cell r="P13">
            <v>2.02857109299558</v>
          </cell>
          <cell r="Q13">
            <v>0.0686682073280875</v>
          </cell>
          <cell r="R13">
            <v>0.00342550380578913</v>
          </cell>
        </row>
        <row r="14">
          <cell r="C14" t="str">
            <v>合计2</v>
          </cell>
          <cell r="D14">
            <v>32.7403</v>
          </cell>
          <cell r="E14">
            <v>15801.2916366759</v>
          </cell>
          <cell r="F14">
            <v>1315.4467246785</v>
          </cell>
          <cell r="G14">
            <v>40.178212315663</v>
          </cell>
          <cell r="H14">
            <v>0.0832493162536952</v>
          </cell>
          <cell r="I14">
            <v>783.361792954985</v>
          </cell>
          <cell r="J14">
            <v>532.084931723518</v>
          </cell>
          <cell r="K14">
            <v>0.0336735087205473</v>
          </cell>
          <cell r="L14">
            <v>-28.0834986398339</v>
          </cell>
          <cell r="M14">
            <v>3225.87451072414</v>
          </cell>
          <cell r="N14">
            <v>12652.5427899518</v>
          </cell>
          <cell r="O14">
            <v>1346.99969262807</v>
          </cell>
          <cell r="P14">
            <v>563.637899673086</v>
          </cell>
          <cell r="Q14">
            <v>0.106460789344084</v>
          </cell>
          <cell r="R14">
            <v>0.0445474011848992</v>
          </cell>
        </row>
        <row r="15">
          <cell r="C15" t="str">
            <v>东莞</v>
          </cell>
          <cell r="D15">
            <v>32.1942</v>
          </cell>
          <cell r="E15">
            <v>6910.18976907419</v>
          </cell>
          <cell r="F15">
            <v>415.546317024868</v>
          </cell>
          <cell r="G15">
            <v>12.9074900766246</v>
          </cell>
          <cell r="H15">
            <v>0.0601352974247684</v>
          </cell>
          <cell r="I15">
            <v>171.522812824521</v>
          </cell>
          <cell r="J15">
            <v>244.023504200348</v>
          </cell>
          <cell r="K15">
            <v>0.0353135749313932</v>
          </cell>
          <cell r="L15">
            <v>-3.56564714159294</v>
          </cell>
          <cell r="M15">
            <v>104.303646</v>
          </cell>
          <cell r="N15">
            <v>6805.88612307419</v>
          </cell>
          <cell r="O15">
            <v>419.111964166461</v>
          </cell>
          <cell r="P15">
            <v>247.589151341941</v>
          </cell>
          <cell r="Q15">
            <v>0.0615808076402475</v>
          </cell>
          <cell r="R15">
            <v>0.0363786796994049</v>
          </cell>
        </row>
        <row r="16">
          <cell r="C16" t="str">
            <v>珠海</v>
          </cell>
          <cell r="D16">
            <v>3.9526</v>
          </cell>
          <cell r="E16">
            <v>3433.6068482505</v>
          </cell>
          <cell r="F16">
            <v>217.456106783416</v>
          </cell>
          <cell r="G16">
            <v>55.0159658916703</v>
          </cell>
          <cell r="H16">
            <v>0.0633316848416163</v>
          </cell>
          <cell r="I16">
            <v>100.015393735198</v>
          </cell>
          <cell r="J16">
            <v>117.440713048218</v>
          </cell>
          <cell r="K16">
            <v>0.0342033081358911</v>
          </cell>
          <cell r="L16">
            <v>-5.4036617397178</v>
          </cell>
          <cell r="M16">
            <v>1032.862716</v>
          </cell>
          <cell r="N16">
            <v>2400.7441322505</v>
          </cell>
          <cell r="O16">
            <v>222.859768523134</v>
          </cell>
          <cell r="P16">
            <v>122.844374787935</v>
          </cell>
          <cell r="Q16">
            <v>0.0928294546383921</v>
          </cell>
          <cell r="R16">
            <v>0.0511692908618208</v>
          </cell>
        </row>
        <row r="17">
          <cell r="C17" t="str">
            <v>惠州</v>
          </cell>
          <cell r="D17">
            <v>8.2711</v>
          </cell>
          <cell r="E17">
            <v>5388.85794590968</v>
          </cell>
          <cell r="F17">
            <v>460.537232282821</v>
          </cell>
          <cell r="G17">
            <v>55.6802882667144</v>
          </cell>
          <cell r="H17">
            <v>0.0854610080476113</v>
          </cell>
          <cell r="I17">
            <v>154.905534639095</v>
          </cell>
          <cell r="J17">
            <v>305.631697643727</v>
          </cell>
          <cell r="K17">
            <v>0.0567154860475977</v>
          </cell>
          <cell r="L17">
            <v>0.839116141592919</v>
          </cell>
          <cell r="M17">
            <v>13.141948</v>
          </cell>
          <cell r="N17">
            <v>5388.85794590968</v>
          </cell>
          <cell r="O17">
            <v>460.537232282821</v>
          </cell>
          <cell r="P17">
            <v>305.631697643727</v>
          </cell>
          <cell r="Q17">
            <v>0.0854610080476113</v>
          </cell>
          <cell r="R17">
            <v>0.0567154860475977</v>
          </cell>
        </row>
        <row r="18">
          <cell r="C18" t="str">
            <v>中山</v>
          </cell>
          <cell r="D18">
            <v>6.3229</v>
          </cell>
          <cell r="E18">
            <v>3043.716962706</v>
          </cell>
          <cell r="F18">
            <v>242.998483141078</v>
          </cell>
          <cell r="G18">
            <v>38.4314923755045</v>
          </cell>
          <cell r="H18">
            <v>0.0798360971530814</v>
          </cell>
          <cell r="I18">
            <v>103.805994726344</v>
          </cell>
          <cell r="J18">
            <v>139.192488414734</v>
          </cell>
          <cell r="K18">
            <v>0.0457310880480115</v>
          </cell>
          <cell r="L18">
            <v>-4.04203824778774</v>
          </cell>
          <cell r="M18">
            <v>456.633006</v>
          </cell>
          <cell r="N18">
            <v>2587.083956706</v>
          </cell>
          <cell r="O18">
            <v>247.040521388865</v>
          </cell>
          <cell r="P18">
            <v>143.234526662522</v>
          </cell>
          <cell r="Q18">
            <v>0.095489951436833</v>
          </cell>
          <cell r="R18">
            <v>0.0553652409660856</v>
          </cell>
        </row>
        <row r="19">
          <cell r="C19" t="str">
            <v>河源</v>
          </cell>
          <cell r="D19">
            <v>0.8224</v>
          </cell>
          <cell r="E19">
            <v>858.620951658187</v>
          </cell>
          <cell r="F19">
            <v>66.1227294704838</v>
          </cell>
          <cell r="G19">
            <v>80.4021515934871</v>
          </cell>
          <cell r="H19">
            <v>0.0770103843177669</v>
          </cell>
          <cell r="I19">
            <v>41.889950418439</v>
          </cell>
          <cell r="J19">
            <v>24.2327790520448</v>
          </cell>
          <cell r="K19">
            <v>0.0282229067497665</v>
          </cell>
          <cell r="L19">
            <v>0.23088614159292</v>
          </cell>
          <cell r="M19">
            <v>4.593718</v>
          </cell>
          <cell r="N19">
            <v>858.620951658187</v>
          </cell>
          <cell r="O19">
            <v>66.1227294704838</v>
          </cell>
          <cell r="P19">
            <v>24.2327790520448</v>
          </cell>
          <cell r="Q19">
            <v>0.0770103843177669</v>
          </cell>
          <cell r="R19">
            <v>0.0282229067497665</v>
          </cell>
        </row>
        <row r="20">
          <cell r="C20" t="str">
            <v>合计3</v>
          </cell>
          <cell r="D20">
            <v>51.5632</v>
          </cell>
          <cell r="E20">
            <v>19634.9924775986</v>
          </cell>
          <cell r="F20">
            <v>1402.66086870267</v>
          </cell>
          <cell r="G20">
            <v>27.2027505799226</v>
          </cell>
          <cell r="H20">
            <v>0.071436791753445</v>
          </cell>
          <cell r="I20">
            <v>572.139686343596</v>
          </cell>
          <cell r="J20">
            <v>830.521182359071</v>
          </cell>
          <cell r="K20">
            <v>0.042298013778544</v>
          </cell>
          <cell r="L20">
            <v>-11.9413448459126</v>
          </cell>
          <cell r="M20">
            <v>1611.535034</v>
          </cell>
          <cell r="N20">
            <v>18041.1931095986</v>
          </cell>
          <cell r="O20">
            <v>1415.67221583177</v>
          </cell>
          <cell r="P20">
            <v>843.53252948817</v>
          </cell>
          <cell r="Q20">
            <v>0.0784688799256063</v>
          </cell>
          <cell r="R20">
            <v>0.0467559171039182</v>
          </cell>
        </row>
        <row r="21">
          <cell r="C21" t="str">
            <v>佛山</v>
          </cell>
          <cell r="D21">
            <v>4.1982</v>
          </cell>
          <cell r="E21">
            <v>3851.60588400113</v>
          </cell>
          <cell r="F21">
            <v>442.142526614786</v>
          </cell>
          <cell r="G21">
            <v>105.317166074695</v>
          </cell>
          <cell r="H21">
            <v>0.114794332527989</v>
          </cell>
          <cell r="I21">
            <v>405.844977449139</v>
          </cell>
          <cell r="J21">
            <v>36.2975491656475</v>
          </cell>
          <cell r="K21">
            <v>0.00942400397621702</v>
          </cell>
          <cell r="L21">
            <v>-21.9326171592921</v>
          </cell>
          <cell r="M21">
            <v>875.071011</v>
          </cell>
          <cell r="N21">
            <v>2976.53487300113</v>
          </cell>
          <cell r="O21">
            <v>464.075143774078</v>
          </cell>
          <cell r="P21">
            <v>58.2301663249397</v>
          </cell>
          <cell r="Q21">
            <v>0.155911206679789</v>
          </cell>
          <cell r="R21">
            <v>0.0195630720987415</v>
          </cell>
        </row>
        <row r="22">
          <cell r="C22" t="str">
            <v>江门</v>
          </cell>
          <cell r="D22">
            <v>1.5228</v>
          </cell>
          <cell r="E22">
            <v>769.205825920169</v>
          </cell>
          <cell r="F22">
            <v>55.3877071894701</v>
          </cell>
          <cell r="G22">
            <v>36.3722794782441</v>
          </cell>
          <cell r="H22">
            <v>0.072006354246228</v>
          </cell>
          <cell r="I22">
            <v>67.4892070231448</v>
          </cell>
          <cell r="J22">
            <v>-12.1014998336748</v>
          </cell>
          <cell r="K22">
            <v>-0.0157324599293021</v>
          </cell>
          <cell r="L22">
            <v>2.7748684513274</v>
          </cell>
          <cell r="M22">
            <v>207.483895</v>
          </cell>
          <cell r="N22">
            <v>769.205825920169</v>
          </cell>
          <cell r="O22">
            <v>55.3877071894701</v>
          </cell>
          <cell r="P22">
            <v>-12.1014998336748</v>
          </cell>
          <cell r="Q22">
            <v>0.072006354246228</v>
          </cell>
          <cell r="R22">
            <v>-0.0157324599293021</v>
          </cell>
        </row>
        <row r="23">
          <cell r="C23" t="str">
            <v>湛江</v>
          </cell>
          <cell r="D23">
            <v>0.7312</v>
          </cell>
          <cell r="E23">
            <v>397.964131705623</v>
          </cell>
          <cell r="F23">
            <v>38.3868825560716</v>
          </cell>
          <cell r="G23">
            <v>52.4984717670564</v>
          </cell>
          <cell r="H23">
            <v>0.0964581465961528</v>
          </cell>
          <cell r="I23">
            <v>28.3635095399992</v>
          </cell>
          <cell r="J23">
            <v>10.0233730160725</v>
          </cell>
          <cell r="K23">
            <v>0.0251866241641265</v>
          </cell>
          <cell r="L23">
            <v>0.616992973451326</v>
          </cell>
          <cell r="M23">
            <v>16.106462</v>
          </cell>
          <cell r="N23">
            <v>397.964131705623</v>
          </cell>
          <cell r="O23">
            <v>38.3868825560716</v>
          </cell>
          <cell r="P23">
            <v>10.0233730160725</v>
          </cell>
          <cell r="Q23">
            <v>0.0964581465961528</v>
          </cell>
          <cell r="R23">
            <v>0.0251866241641265</v>
          </cell>
        </row>
        <row r="24">
          <cell r="C24" t="str">
            <v>茂名</v>
          </cell>
          <cell r="D24">
            <v>1.7928</v>
          </cell>
          <cell r="E24">
            <v>2783.71372007647</v>
          </cell>
          <cell r="F24">
            <v>172.863814230411</v>
          </cell>
          <cell r="G24">
            <v>96.4211368978196</v>
          </cell>
          <cell r="H24">
            <v>0.0620982728876525</v>
          </cell>
          <cell r="I24">
            <v>90.7725672561602</v>
          </cell>
          <cell r="J24">
            <v>82.0912469742508</v>
          </cell>
          <cell r="K24">
            <v>0.0294898309341938</v>
          </cell>
          <cell r="L24">
            <v>-8.53389484070822</v>
          </cell>
          <cell r="M24">
            <v>922.689291</v>
          </cell>
          <cell r="N24">
            <v>1861.02442907647</v>
          </cell>
          <cell r="O24">
            <v>181.397709071119</v>
          </cell>
          <cell r="P24">
            <v>90.625141814959</v>
          </cell>
          <cell r="Q24">
            <v>0.0974719655674468</v>
          </cell>
          <cell r="R24">
            <v>0.0486963741039829</v>
          </cell>
        </row>
        <row r="25">
          <cell r="C25" t="str">
            <v>阳江</v>
          </cell>
          <cell r="D25">
            <v>0.9754</v>
          </cell>
          <cell r="E25">
            <v>812.322330210106</v>
          </cell>
          <cell r="F25">
            <v>116.412708827983</v>
          </cell>
          <cell r="G25">
            <v>119.348686516283</v>
          </cell>
          <cell r="H25">
            <v>0.143308517442667</v>
          </cell>
          <cell r="I25">
            <v>135.137693207754</v>
          </cell>
          <cell r="J25">
            <v>-18.7249843797715</v>
          </cell>
          <cell r="K25">
            <v>-0.0230511752335163</v>
          </cell>
          <cell r="L25">
            <v>1.62433851327433</v>
          </cell>
          <cell r="M25">
            <v>19.804604</v>
          </cell>
          <cell r="N25">
            <v>812.322330210106</v>
          </cell>
          <cell r="O25">
            <v>116.412708827983</v>
          </cell>
          <cell r="P25">
            <v>-18.7249843797715</v>
          </cell>
          <cell r="Q25">
            <v>0.143308517442667</v>
          </cell>
          <cell r="R25">
            <v>-0.0230511752335163</v>
          </cell>
        </row>
        <row r="26">
          <cell r="C26" t="str">
            <v>合计4</v>
          </cell>
          <cell r="D26">
            <v>9.2204</v>
          </cell>
          <cell r="E26">
            <v>8614.8118919135</v>
          </cell>
          <cell r="F26">
            <v>825.193639418721</v>
          </cell>
          <cell r="G26">
            <v>89.4965120188626</v>
          </cell>
          <cell r="H26">
            <v>0.0957877722429794</v>
          </cell>
          <cell r="I26">
            <v>727.607954476197</v>
          </cell>
          <cell r="J26">
            <v>97.5856849425245</v>
          </cell>
          <cell r="K26">
            <v>0.0113276628865368</v>
          </cell>
          <cell r="L26">
            <v>-25.4503120619473</v>
          </cell>
          <cell r="M26">
            <v>2041.155263</v>
          </cell>
          <cell r="N26">
            <v>6817.0515899135</v>
          </cell>
          <cell r="O26">
            <v>855.660151418722</v>
          </cell>
          <cell r="P26">
            <v>128.052196942525</v>
          </cell>
          <cell r="Q26">
            <v>0.125517628865352</v>
          </cell>
          <cell r="R26">
            <v>0.0187841026657317</v>
          </cell>
        </row>
        <row r="27">
          <cell r="C27" t="str">
            <v>全省合计</v>
          </cell>
          <cell r="D27">
            <v>113.2016</v>
          </cell>
          <cell r="E27">
            <v>59495.4783289705</v>
          </cell>
          <cell r="F27">
            <v>4881.92494869115</v>
          </cell>
          <cell r="G27">
            <v>43.1259359292727</v>
          </cell>
          <cell r="H27">
            <v>0.082055394557841</v>
          </cell>
          <cell r="I27">
            <v>3010.20936032253</v>
          </cell>
          <cell r="J27">
            <v>1871.71558836862</v>
          </cell>
          <cell r="K27">
            <v>0.0314597956170598</v>
          </cell>
          <cell r="L27">
            <v>-90.3389661165073</v>
          </cell>
          <cell r="M27">
            <v>10294.6087854828</v>
          </cell>
          <cell r="N27">
            <v>50126.0933822808</v>
          </cell>
          <cell r="O27">
            <v>4987.17598368926</v>
          </cell>
          <cell r="P27">
            <v>1976.96662336673</v>
          </cell>
          <cell r="Q27">
            <v>0.0994926124734106</v>
          </cell>
          <cell r="R27">
            <v>0.0394398703343909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9"/>
  <sheetViews>
    <sheetView tabSelected="1" topLeftCell="F1" workbookViewId="0">
      <selection activeCell="O3" sqref="O3:O28"/>
    </sheetView>
  </sheetViews>
  <sheetFormatPr defaultColWidth="9" defaultRowHeight="13.5"/>
  <cols>
    <col min="1" max="1" width="10.6916666666667" style="3" customWidth="1"/>
    <col min="2" max="2" width="9.55833333333333" style="3" customWidth="1"/>
    <col min="3" max="8" width="10.3166666666667" style="3" customWidth="1"/>
    <col min="9" max="10" width="9.55833333333333" style="3" customWidth="1"/>
    <col min="11" max="11" width="9.05833333333333" style="3" customWidth="1"/>
    <col min="12" max="12" width="9.05833333333333" style="4" customWidth="1"/>
    <col min="13" max="15" width="9.05833333333333" style="3" customWidth="1"/>
    <col min="16" max="16" width="9.05833333333333" style="5" customWidth="1"/>
    <col min="17" max="18" width="10.9416666666667" style="6" customWidth="1"/>
    <col min="19" max="19" width="15.2166666666667" style="4" customWidth="1"/>
    <col min="20" max="20" width="10.9416666666667" style="4" customWidth="1"/>
    <col min="21" max="22" width="9.68333333333333" style="6" customWidth="1"/>
    <col min="23" max="23" width="9.68333333333333" style="4" customWidth="1"/>
    <col min="24" max="24" width="9.93333333333333" style="3" customWidth="1"/>
    <col min="25" max="25" width="10.8166666666667" style="3" customWidth="1"/>
    <col min="26" max="26" width="10.8166666666667" style="4" customWidth="1"/>
    <col min="27" max="27" width="9.43333333333333" style="4" customWidth="1"/>
    <col min="28" max="28" width="10.9416666666667" style="3" customWidth="1"/>
    <col min="29" max="29" width="9.55833333333333" style="3" customWidth="1"/>
    <col min="30" max="30" width="9.55833333333333" style="4" customWidth="1"/>
    <col min="31" max="31" width="10.3166666666667" style="7" customWidth="1"/>
    <col min="32" max="32" width="9.30833333333333" style="3" customWidth="1"/>
    <col min="33" max="34" width="9.55833333333333" style="7" customWidth="1"/>
    <col min="35" max="35" width="11.575" style="3" customWidth="1"/>
    <col min="36" max="36" width="12.575" style="3" customWidth="1"/>
    <col min="37" max="37" width="8.05" style="4" customWidth="1"/>
    <col min="38" max="38" width="10.1916666666667" style="3" customWidth="1"/>
    <col min="39" max="39" width="11.575" style="3" customWidth="1"/>
    <col min="40" max="40" width="15.0916666666667" style="3" customWidth="1"/>
    <col min="41" max="41" width="12.9583333333333" style="3" customWidth="1"/>
    <col min="42" max="42" width="10.1916666666667" style="3" customWidth="1"/>
    <col min="43" max="43" width="10.1916666666667" style="8" customWidth="1"/>
    <col min="44" max="44" width="10.1916666666667" style="9" customWidth="1"/>
    <col min="45" max="45" width="17.225" style="3" customWidth="1"/>
    <col min="46" max="46" width="13.3333333333333" style="3" customWidth="1"/>
    <col min="47" max="48" width="9.80833333333333" style="3" customWidth="1"/>
    <col min="49" max="49" width="9.18333333333333" style="3" customWidth="1"/>
    <col min="50" max="50" width="15.975" style="6" customWidth="1"/>
    <col min="51" max="51" width="17.8583333333333" style="6" customWidth="1"/>
    <col min="52" max="53" width="13.8333333333333" style="6" customWidth="1"/>
    <col min="54" max="54" width="14.4666666666667" style="6" customWidth="1"/>
    <col min="55" max="55" width="10.3166666666667" style="3" customWidth="1"/>
    <col min="56" max="56" width="12.325" style="3" customWidth="1"/>
    <col min="57" max="57" width="11.4416666666667" style="9" customWidth="1"/>
    <col min="58" max="59" width="10.4416666666667" style="9" customWidth="1"/>
    <col min="60" max="60" width="9.30833333333333" style="9" customWidth="1"/>
    <col min="61" max="61" width="11.95" style="3" customWidth="1"/>
    <col min="62" max="62" width="12.825" style="3" customWidth="1"/>
    <col min="63" max="63" width="12.825" style="8" customWidth="1"/>
    <col min="64" max="64" width="19.2416666666667" style="9" customWidth="1"/>
    <col min="65" max="65" width="17.3583333333333" style="3" customWidth="1"/>
    <col min="66" max="66" width="9.05833333333333" style="9" customWidth="1"/>
    <col min="67" max="67" width="17.8583333333333" style="3" customWidth="1"/>
    <col min="68" max="68" width="9.05833333333333" style="3" customWidth="1"/>
    <col min="69" max="70" width="12.325" style="3" customWidth="1"/>
    <col min="71" max="71" width="9.05833333333333" style="3" customWidth="1"/>
    <col min="72" max="72" width="11.95" style="3" customWidth="1"/>
    <col min="73" max="16384" width="9.05833333333333" style="3" customWidth="1"/>
  </cols>
  <sheetData>
    <row r="1" s="1" customFormat="1" ht="24" customHeight="1" spans="1:7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 t="s">
        <v>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 t="s">
        <v>3</v>
      </c>
      <c r="AN1" s="10"/>
      <c r="AO1" s="10" t="s">
        <v>4</v>
      </c>
      <c r="AP1" s="10"/>
      <c r="AQ1" s="10"/>
      <c r="AR1" s="10"/>
      <c r="AS1" s="10"/>
      <c r="AT1" s="10"/>
      <c r="AU1" s="10"/>
      <c r="AV1" s="10"/>
      <c r="AW1" s="10"/>
      <c r="AX1" s="10"/>
      <c r="AY1" s="10" t="s">
        <v>5</v>
      </c>
      <c r="AZ1" s="10"/>
      <c r="BA1" s="10"/>
      <c r="BB1" s="10"/>
      <c r="BC1" s="10" t="s">
        <v>6</v>
      </c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4" t="s">
        <v>7</v>
      </c>
      <c r="BO1" s="104" t="s">
        <v>8</v>
      </c>
      <c r="BP1" s="104"/>
      <c r="BQ1" s="104"/>
      <c r="BR1" s="104"/>
      <c r="BS1" s="104"/>
      <c r="BT1" s="104" t="s">
        <v>9</v>
      </c>
    </row>
    <row r="2" s="2" customFormat="1" ht="54" customHeight="1" spans="1:72">
      <c r="A2" s="11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3" t="s">
        <v>15</v>
      </c>
      <c r="G2" s="12" t="s">
        <v>16</v>
      </c>
      <c r="H2" s="13" t="s">
        <v>17</v>
      </c>
      <c r="I2" s="14" t="s">
        <v>18</v>
      </c>
      <c r="J2" s="13" t="s">
        <v>19</v>
      </c>
      <c r="K2" s="32" t="s">
        <v>20</v>
      </c>
      <c r="L2" s="11" t="s">
        <v>21</v>
      </c>
      <c r="M2" s="33" t="s">
        <v>22</v>
      </c>
      <c r="N2" s="34" t="s">
        <v>23</v>
      </c>
      <c r="O2" s="35" t="s">
        <v>24</v>
      </c>
      <c r="P2" s="35" t="s">
        <v>25</v>
      </c>
      <c r="Q2" s="33" t="s">
        <v>26</v>
      </c>
      <c r="R2" s="47" t="s">
        <v>27</v>
      </c>
      <c r="S2" s="11" t="s">
        <v>28</v>
      </c>
      <c r="T2" s="34" t="s">
        <v>29</v>
      </c>
      <c r="U2" s="34" t="s">
        <v>30</v>
      </c>
      <c r="V2" s="33" t="s">
        <v>31</v>
      </c>
      <c r="W2" s="33" t="s">
        <v>22</v>
      </c>
      <c r="X2" s="33" t="s">
        <v>26</v>
      </c>
      <c r="Y2" s="11" t="s">
        <v>32</v>
      </c>
      <c r="Z2" s="11" t="s">
        <v>33</v>
      </c>
      <c r="AA2" s="34" t="s">
        <v>34</v>
      </c>
      <c r="AB2" s="34" t="s">
        <v>35</v>
      </c>
      <c r="AC2" s="33" t="s">
        <v>36</v>
      </c>
      <c r="AD2" s="33" t="s">
        <v>22</v>
      </c>
      <c r="AE2" s="33" t="s">
        <v>26</v>
      </c>
      <c r="AF2" s="11" t="s">
        <v>37</v>
      </c>
      <c r="AG2" s="56" t="s">
        <v>38</v>
      </c>
      <c r="AH2" s="33" t="s">
        <v>22</v>
      </c>
      <c r="AI2" s="33" t="s">
        <v>26</v>
      </c>
      <c r="AJ2" s="33" t="s">
        <v>20</v>
      </c>
      <c r="AK2" s="33" t="s">
        <v>22</v>
      </c>
      <c r="AL2" s="33" t="s">
        <v>26</v>
      </c>
      <c r="AM2" s="11" t="s">
        <v>39</v>
      </c>
      <c r="AN2" s="57" t="s">
        <v>40</v>
      </c>
      <c r="AO2" s="67" t="s">
        <v>41</v>
      </c>
      <c r="AP2" s="67" t="s">
        <v>42</v>
      </c>
      <c r="AQ2" s="67" t="s">
        <v>43</v>
      </c>
      <c r="AR2" s="68" t="s">
        <v>44</v>
      </c>
      <c r="AS2" s="57" t="s">
        <v>45</v>
      </c>
      <c r="AT2" s="67" t="s">
        <v>46</v>
      </c>
      <c r="AU2" s="69" t="s">
        <v>47</v>
      </c>
      <c r="AV2" s="67" t="s">
        <v>48</v>
      </c>
      <c r="AW2" s="68" t="s">
        <v>49</v>
      </c>
      <c r="AX2" s="57" t="s">
        <v>50</v>
      </c>
      <c r="AY2" s="80" t="s">
        <v>51</v>
      </c>
      <c r="AZ2" s="81" t="s">
        <v>52</v>
      </c>
      <c r="BA2" s="68" t="s">
        <v>49</v>
      </c>
      <c r="BB2" s="57" t="s">
        <v>50</v>
      </c>
      <c r="BC2" s="82" t="s">
        <v>53</v>
      </c>
      <c r="BD2" s="57" t="s">
        <v>54</v>
      </c>
      <c r="BE2" s="82" t="s">
        <v>55</v>
      </c>
      <c r="BF2" s="57" t="s">
        <v>56</v>
      </c>
      <c r="BG2" s="57" t="s">
        <v>57</v>
      </c>
      <c r="BH2" s="57" t="s">
        <v>58</v>
      </c>
      <c r="BI2" s="82" t="s">
        <v>59</v>
      </c>
      <c r="BJ2" s="88" t="s">
        <v>60</v>
      </c>
      <c r="BK2" s="67" t="s">
        <v>61</v>
      </c>
      <c r="BL2" s="68" t="s">
        <v>62</v>
      </c>
      <c r="BM2" s="11" t="s">
        <v>63</v>
      </c>
      <c r="BN2" s="12" t="s">
        <v>64</v>
      </c>
      <c r="BO2" s="11" t="s">
        <v>65</v>
      </c>
      <c r="BP2" s="12" t="s">
        <v>66</v>
      </c>
      <c r="BQ2" s="11" t="s">
        <v>67</v>
      </c>
      <c r="BR2" s="12" t="s">
        <v>68</v>
      </c>
      <c r="BS2" s="12" t="s">
        <v>69</v>
      </c>
      <c r="BT2" s="12" t="s">
        <v>9</v>
      </c>
    </row>
    <row r="3" customHeight="1" spans="1:72">
      <c r="A3" s="15" t="s">
        <v>70</v>
      </c>
      <c r="B3" s="16" t="s">
        <v>71</v>
      </c>
      <c r="C3" s="17">
        <v>0.048</v>
      </c>
      <c r="D3" s="18">
        <f>VLOOKUP(B3,'[2]2019年2季度虚拟核算'!C:Q,15,0)</f>
        <v>0.121323181277212</v>
      </c>
      <c r="E3" s="19">
        <f t="shared" ref="E3:E28" si="0">D3/C3</f>
        <v>2.52756627660859</v>
      </c>
      <c r="F3" s="20">
        <f t="shared" ref="F3:F28" si="1">MIN(10,IF(E3&gt;=0.6,E3*10,0))</f>
        <v>10</v>
      </c>
      <c r="G3" s="18">
        <v>0.02</v>
      </c>
      <c r="H3" s="18">
        <f>VLOOKUP(B3,'[2]2019年2季度虚拟核算'!C:R,16,0)</f>
        <v>0.0367416334567905</v>
      </c>
      <c r="I3" s="19">
        <f t="shared" ref="I3:I28" si="2">H3/G3</f>
        <v>1.83708167283952</v>
      </c>
      <c r="J3" s="20">
        <f t="shared" ref="J3:J28" si="3">MIN(10,IF(I3&gt;=0.6,I3*10,0))</f>
        <v>10</v>
      </c>
      <c r="K3" s="36">
        <v>30475.9398553502</v>
      </c>
      <c r="L3" s="37"/>
      <c r="M3" s="38">
        <v>9527.55873817112</v>
      </c>
      <c r="N3" s="37">
        <f t="shared" ref="N3:N28" si="4">L3/K3-90/365</f>
        <v>-0.246575342465753</v>
      </c>
      <c r="O3" s="39">
        <v>30475.9398553502</v>
      </c>
      <c r="P3" s="40"/>
      <c r="Q3" s="43">
        <v>0</v>
      </c>
      <c r="R3" s="39">
        <v>1711.04824582405</v>
      </c>
      <c r="S3" s="48">
        <f>VLOOKUP(B3,[1]自有品牌手机收入!$F$2:$G$23,2,0)/10000</f>
        <v>50.968754</v>
      </c>
      <c r="T3" s="49">
        <f t="shared" ref="T3:T28" si="5">S3/(R3*90/365)</f>
        <v>0.120807004682029</v>
      </c>
      <c r="U3" s="37">
        <f t="shared" ref="U3:U28" si="6">S3/R3-90/365</f>
        <v>-0.21678731391402</v>
      </c>
      <c r="V3" s="50">
        <v>427.762061456013</v>
      </c>
      <c r="W3" s="40">
        <v>90.3147944424778</v>
      </c>
      <c r="X3" s="40">
        <v>0</v>
      </c>
      <c r="Y3" s="39">
        <v>8495.15767240569</v>
      </c>
      <c r="Z3" s="48">
        <f>VLOOKUP(B3,'[1]自有品牌智能硬件收入（已加配额制摊分）'!$H$2:$I$23,2,0)/10000</f>
        <v>3507.91841827586</v>
      </c>
      <c r="AA3" s="49">
        <f t="shared" ref="AA3:AA28" si="7">Z3/(Y3*90/365)</f>
        <v>1.67466674290056</v>
      </c>
      <c r="AB3" s="37">
        <f t="shared" ref="AB3:AB28" si="8">Z3/Y3-90/365</f>
        <v>0.16635618318096</v>
      </c>
      <c r="AC3" s="39">
        <v>1589.13925861583</v>
      </c>
      <c r="AD3" s="40">
        <v>1683.77086977876</v>
      </c>
      <c r="AE3" s="48">
        <v>10.3539945120525</v>
      </c>
      <c r="AF3" s="39">
        <v>1665.30001055106</v>
      </c>
      <c r="AG3" s="48">
        <v>128.916666666667</v>
      </c>
      <c r="AH3" s="48">
        <v>0.639026548672566</v>
      </c>
      <c r="AI3" s="58">
        <v>0</v>
      </c>
      <c r="AJ3" s="59">
        <v>582.85500369287</v>
      </c>
      <c r="AK3" s="48">
        <v>26.6079646017699</v>
      </c>
      <c r="AL3" s="48">
        <v>0</v>
      </c>
      <c r="AM3" s="60" t="s">
        <v>72</v>
      </c>
      <c r="AN3" s="61">
        <v>0.277777777777778</v>
      </c>
      <c r="AO3" s="70">
        <v>71</v>
      </c>
      <c r="AP3" s="70">
        <v>71</v>
      </c>
      <c r="AQ3" s="71">
        <f>VLOOKUP(B3,[1]渠道类指标!$B$2:$F$22,5,0)</f>
        <v>77</v>
      </c>
      <c r="AR3" s="72">
        <v>1.05633802816901</v>
      </c>
      <c r="AS3" s="49">
        <v>8</v>
      </c>
      <c r="AT3" s="73">
        <v>116549.3176</v>
      </c>
      <c r="AU3" s="73">
        <v>29137.3294</v>
      </c>
      <c r="AV3" s="74">
        <f>VLOOKUP(B3,[1]渠道类指标!$B$2:$F$22,4,0)</f>
        <v>4553</v>
      </c>
      <c r="AW3" s="72">
        <v>0.137589823177137</v>
      </c>
      <c r="AX3" s="49">
        <v>0</v>
      </c>
      <c r="AY3" s="83">
        <v>2.58</v>
      </c>
      <c r="AZ3" s="83">
        <v>1.05392156862745</v>
      </c>
      <c r="BA3" s="83">
        <v>0.4069</v>
      </c>
      <c r="BB3" s="40">
        <v>0</v>
      </c>
      <c r="BC3" s="84"/>
      <c r="BD3" s="40">
        <f t="shared" ref="BD3:BD28" si="9">MIN(5,BC3*2)</f>
        <v>0</v>
      </c>
      <c r="BE3" s="17">
        <v>0.025</v>
      </c>
      <c r="BF3" s="17">
        <v>0.025</v>
      </c>
      <c r="BG3" s="89">
        <v>6.99</v>
      </c>
      <c r="BH3" s="40">
        <v>3</v>
      </c>
      <c r="BI3" s="90">
        <f t="shared" ref="BI3:BI28" si="10">H3</f>
        <v>0.0367416334567905</v>
      </c>
      <c r="BJ3" s="91"/>
      <c r="BK3" s="92"/>
      <c r="BL3" s="93">
        <v>-2</v>
      </c>
      <c r="BM3" s="105"/>
      <c r="BN3" s="106">
        <v>39.6317722898302</v>
      </c>
      <c r="BO3" s="107">
        <v>598.866886038419</v>
      </c>
      <c r="BP3" s="108">
        <v>1.5</v>
      </c>
      <c r="BQ3" s="107">
        <v>4.69</v>
      </c>
      <c r="BR3" s="109">
        <v>0.00153492234341873</v>
      </c>
      <c r="BS3" s="110">
        <v>0.00153492234341873</v>
      </c>
      <c r="BT3" s="111">
        <v>36.6685141220125</v>
      </c>
    </row>
    <row r="4" spans="1:72">
      <c r="A4" s="21" t="s">
        <v>70</v>
      </c>
      <c r="B4" s="22" t="s">
        <v>73</v>
      </c>
      <c r="C4" s="23">
        <v>0.048</v>
      </c>
      <c r="D4" s="18">
        <f>VLOOKUP(B4,'[2]2019年2季度虚拟核算'!C:Q,15,0)</f>
        <v>0.0925897728727542</v>
      </c>
      <c r="E4" s="19">
        <f t="shared" si="0"/>
        <v>1.92895360151571</v>
      </c>
      <c r="F4" s="20">
        <f t="shared" si="1"/>
        <v>10</v>
      </c>
      <c r="G4" s="18">
        <v>0.02</v>
      </c>
      <c r="H4" s="18">
        <f>VLOOKUP(B4,'[2]2019年2季度虚拟核算'!C:R,16,0)</f>
        <v>0.0383144503134498</v>
      </c>
      <c r="I4" s="19">
        <f t="shared" si="2"/>
        <v>1.91572251567249</v>
      </c>
      <c r="J4" s="20">
        <f t="shared" si="3"/>
        <v>10</v>
      </c>
      <c r="K4" s="36">
        <v>838.818895712796</v>
      </c>
      <c r="L4" s="41"/>
      <c r="M4" s="38">
        <v>1387.18287278768</v>
      </c>
      <c r="N4" s="41">
        <f t="shared" si="4"/>
        <v>-0.246575342465753</v>
      </c>
      <c r="O4" s="42">
        <v>838.818895712796</v>
      </c>
      <c r="P4" s="43"/>
      <c r="Q4" s="43">
        <v>16.9336524106043</v>
      </c>
      <c r="R4" s="42">
        <v>549.925739701707</v>
      </c>
      <c r="S4" s="38">
        <f>VLOOKUP(B4,[1]自有品牌手机收入!$F$2:$G$23,2,0)/10000</f>
        <v>131.233816000001</v>
      </c>
      <c r="T4" s="20">
        <f t="shared" si="5"/>
        <v>0.967814366798415</v>
      </c>
      <c r="U4" s="41">
        <f t="shared" si="6"/>
        <v>-0.00793618352915787</v>
      </c>
      <c r="V4" s="51">
        <v>137.481434925427</v>
      </c>
      <c r="W4" s="43">
        <v>8.00229798230089</v>
      </c>
      <c r="X4" s="43">
        <v>0</v>
      </c>
      <c r="Y4" s="42">
        <v>2027.83591851627</v>
      </c>
      <c r="Z4" s="38">
        <f>VLOOKUP(B4,'[1]自有品牌智能硬件收入（已加配额制摊分）'!$H$2:$I$23,2,0)/10000</f>
        <v>1185.28811406897</v>
      </c>
      <c r="AA4" s="20">
        <f t="shared" si="7"/>
        <v>2.37050826058133</v>
      </c>
      <c r="AB4" s="41">
        <f t="shared" si="8"/>
        <v>0.337933543704986</v>
      </c>
      <c r="AC4" s="42">
        <v>31.3699131787293</v>
      </c>
      <c r="AD4" s="43">
        <v>13.8963716814159</v>
      </c>
      <c r="AE4" s="38">
        <v>0</v>
      </c>
      <c r="AF4" s="42">
        <v>314.882926464922</v>
      </c>
      <c r="AG4" s="38">
        <v>23.6104166666667</v>
      </c>
      <c r="AH4" s="38">
        <v>13.8963716814159</v>
      </c>
      <c r="AI4" s="62">
        <v>0</v>
      </c>
      <c r="AJ4" s="63">
        <v>110.209024262723</v>
      </c>
      <c r="AK4" s="38">
        <v>15.731592920354</v>
      </c>
      <c r="AL4" s="38">
        <v>3.33149413296122</v>
      </c>
      <c r="AM4" s="60" t="s">
        <v>72</v>
      </c>
      <c r="AN4" s="61">
        <v>1.89501633986928</v>
      </c>
      <c r="AO4" s="75">
        <v>10</v>
      </c>
      <c r="AP4" s="75">
        <v>10</v>
      </c>
      <c r="AQ4" s="76">
        <f>VLOOKUP(B4,[1]渠道类指标!$B$2:$F$22,5,0)</f>
        <v>10</v>
      </c>
      <c r="AR4" s="77">
        <v>0.8</v>
      </c>
      <c r="AS4" s="20">
        <v>6.4</v>
      </c>
      <c r="AT4" s="78">
        <v>18306.4017</v>
      </c>
      <c r="AU4" s="78">
        <v>4576.600425</v>
      </c>
      <c r="AV4" s="79">
        <f>VLOOKUP(B4,[1]渠道类指标!$B$2:$F$22,4,0)</f>
        <v>2509</v>
      </c>
      <c r="AW4" s="77">
        <v>0.141152807763418</v>
      </c>
      <c r="AX4" s="20">
        <v>0</v>
      </c>
      <c r="AY4" s="85">
        <v>0.3</v>
      </c>
      <c r="AZ4" s="85">
        <v>0.122549019607843</v>
      </c>
      <c r="BA4" s="85">
        <v>0.1406</v>
      </c>
      <c r="BB4" s="43">
        <v>5</v>
      </c>
      <c r="BC4" s="86"/>
      <c r="BD4" s="43">
        <f t="shared" si="9"/>
        <v>0</v>
      </c>
      <c r="BE4" s="23">
        <v>0.025</v>
      </c>
      <c r="BF4" s="23">
        <v>0.025</v>
      </c>
      <c r="BG4" s="94">
        <v>28.8956076024538</v>
      </c>
      <c r="BH4" s="43">
        <v>3</v>
      </c>
      <c r="BI4" s="95">
        <f t="shared" si="10"/>
        <v>0.0383144503134498</v>
      </c>
      <c r="BJ4" s="96"/>
      <c r="BK4" s="97"/>
      <c r="BL4" s="98">
        <v>1.17</v>
      </c>
      <c r="BM4" s="105"/>
      <c r="BN4" s="112">
        <v>57.7301628834349</v>
      </c>
      <c r="BO4" s="113">
        <v>192.474008895598</v>
      </c>
      <c r="BP4" s="114">
        <v>1.5</v>
      </c>
      <c r="BQ4" s="113">
        <v>0.73</v>
      </c>
      <c r="BR4" s="115">
        <v>0.176527471176993</v>
      </c>
      <c r="BS4" s="116">
        <v>0.176527471176993</v>
      </c>
      <c r="BT4" s="117">
        <v>54.9290446168445</v>
      </c>
    </row>
    <row r="5" spans="1:72">
      <c r="A5" s="21" t="s">
        <v>70</v>
      </c>
      <c r="B5" s="22" t="s">
        <v>74</v>
      </c>
      <c r="C5" s="23">
        <v>0.048</v>
      </c>
      <c r="D5" s="18">
        <f>VLOOKUP(B5,'[2]2019年2季度虚拟核算'!C:Q,15,0)</f>
        <v>0.08749942481244</v>
      </c>
      <c r="E5" s="19">
        <f t="shared" si="0"/>
        <v>1.8229046835925</v>
      </c>
      <c r="F5" s="20">
        <f t="shared" si="1"/>
        <v>10</v>
      </c>
      <c r="G5" s="18">
        <v>0.02</v>
      </c>
      <c r="H5" s="18">
        <f>VLOOKUP(B5,'[2]2019年2季度虚拟核算'!C:R,16,0)</f>
        <v>0.0494659381457119</v>
      </c>
      <c r="I5" s="19">
        <f t="shared" si="2"/>
        <v>2.4732969072856</v>
      </c>
      <c r="J5" s="20">
        <f t="shared" si="3"/>
        <v>10</v>
      </c>
      <c r="K5" s="36">
        <v>282.494243376747</v>
      </c>
      <c r="L5" s="41"/>
      <c r="M5" s="38">
        <v>2026.1454507162</v>
      </c>
      <c r="N5" s="41">
        <f t="shared" si="4"/>
        <v>-0.246575342465753</v>
      </c>
      <c r="O5" s="42">
        <v>282.494243376747</v>
      </c>
      <c r="P5" s="43"/>
      <c r="Q5" s="43">
        <v>20.7097802385839</v>
      </c>
      <c r="R5" s="42">
        <v>915.727393477948</v>
      </c>
      <c r="S5" s="38">
        <f>VLOOKUP(B5,[1]自有品牌手机收入!$F$2:$G$23,2,0)/10000</f>
        <v>177.146361999998</v>
      </c>
      <c r="T5" s="20">
        <f t="shared" si="5"/>
        <v>0.784542340517901</v>
      </c>
      <c r="U5" s="41">
        <f t="shared" si="6"/>
        <v>-0.0531265461736684</v>
      </c>
      <c r="V5" s="51">
        <v>228.931848369487</v>
      </c>
      <c r="W5" s="43">
        <v>263.699796318583</v>
      </c>
      <c r="X5" s="43">
        <v>13</v>
      </c>
      <c r="Y5" s="42">
        <v>2256.48629359942</v>
      </c>
      <c r="Z5" s="38">
        <f>VLOOKUP(B5,'[1]自有品牌智能硬件收入（已加配额制摊分）'!$H$2:$I$23,2,0)/10000</f>
        <v>986.669572379311</v>
      </c>
      <c r="AA5" s="20">
        <f t="shared" si="7"/>
        <v>1.77332930277967</v>
      </c>
      <c r="AB5" s="41">
        <f t="shared" si="8"/>
        <v>0.190683937671699</v>
      </c>
      <c r="AC5" s="42">
        <v>367.222207194136</v>
      </c>
      <c r="AD5" s="43">
        <v>145.598088495575</v>
      </c>
      <c r="AE5" s="38">
        <v>0</v>
      </c>
      <c r="AF5" s="42">
        <v>358.610754522909</v>
      </c>
      <c r="AG5" s="38">
        <v>26.1479166666667</v>
      </c>
      <c r="AH5" s="38">
        <v>2.57008849557522</v>
      </c>
      <c r="AI5" s="62">
        <v>0</v>
      </c>
      <c r="AJ5" s="63">
        <v>125.513764083018</v>
      </c>
      <c r="AK5" s="38">
        <v>12.3795575221239</v>
      </c>
      <c r="AL5" s="38">
        <v>0</v>
      </c>
      <c r="AM5" s="60" t="s">
        <v>72</v>
      </c>
      <c r="AN5" s="61">
        <v>2.82074048010009</v>
      </c>
      <c r="AO5" s="75">
        <v>10</v>
      </c>
      <c r="AP5" s="75">
        <v>10</v>
      </c>
      <c r="AQ5" s="76">
        <f>VLOOKUP(B5,[1]渠道类指标!$B$2:$F$22,5,0)</f>
        <v>18</v>
      </c>
      <c r="AR5" s="77">
        <v>1.6</v>
      </c>
      <c r="AS5" s="20">
        <v>8</v>
      </c>
      <c r="AT5" s="78">
        <v>16059.12</v>
      </c>
      <c r="AU5" s="78">
        <v>4014.78</v>
      </c>
      <c r="AV5" s="79">
        <f>VLOOKUP(B5,[1]渠道类指标!$B$2:$F$22,4,0)</f>
        <v>2075</v>
      </c>
      <c r="AW5" s="77">
        <v>0.912378760480026</v>
      </c>
      <c r="AX5" s="20">
        <v>7.29903008384021</v>
      </c>
      <c r="AY5" s="85">
        <v>0.26</v>
      </c>
      <c r="AZ5" s="85">
        <v>0.106209150326797</v>
      </c>
      <c r="BA5" s="85">
        <v>0.1185</v>
      </c>
      <c r="BB5" s="43">
        <v>5</v>
      </c>
      <c r="BC5" s="86"/>
      <c r="BD5" s="43">
        <f t="shared" si="9"/>
        <v>0</v>
      </c>
      <c r="BE5" s="23">
        <v>0.025</v>
      </c>
      <c r="BF5" s="23">
        <v>0.025</v>
      </c>
      <c r="BG5" s="94">
        <v>5.3076767403164</v>
      </c>
      <c r="BH5" s="43">
        <v>3</v>
      </c>
      <c r="BI5" s="95">
        <f t="shared" si="10"/>
        <v>0.0494659381457119</v>
      </c>
      <c r="BJ5" s="96"/>
      <c r="BK5" s="97"/>
      <c r="BL5" s="98">
        <v>0</v>
      </c>
      <c r="BM5" s="105"/>
      <c r="BN5" s="112">
        <v>79.8295508025242</v>
      </c>
      <c r="BO5" s="113">
        <v>320.504587717282</v>
      </c>
      <c r="BP5" s="114">
        <v>1.5</v>
      </c>
      <c r="BQ5" s="113">
        <v>0.83</v>
      </c>
      <c r="BR5" s="115">
        <v>0.0286671658689593</v>
      </c>
      <c r="BS5" s="116">
        <v>0.0286671658689593</v>
      </c>
      <c r="BT5" s="117">
        <v>74.1856075384499</v>
      </c>
    </row>
    <row r="6" spans="1:72">
      <c r="A6" s="21" t="s">
        <v>70</v>
      </c>
      <c r="B6" s="22" t="s">
        <v>75</v>
      </c>
      <c r="C6" s="23">
        <v>0.048</v>
      </c>
      <c r="D6" s="18">
        <f>VLOOKUP(B6,'[2]2019年2季度虚拟核算'!C:Q,15,0)</f>
        <v>0.0996343934119175</v>
      </c>
      <c r="E6" s="19">
        <f t="shared" si="0"/>
        <v>2.07571652941495</v>
      </c>
      <c r="F6" s="20">
        <f t="shared" si="1"/>
        <v>10</v>
      </c>
      <c r="G6" s="18">
        <v>0.02</v>
      </c>
      <c r="H6" s="18">
        <f>VLOOKUP(B6,'[2]2019年2季度虚拟核算'!C:R,16,0)</f>
        <v>-0.00965464073237133</v>
      </c>
      <c r="I6" s="44">
        <f t="shared" si="2"/>
        <v>-0.482732036618566</v>
      </c>
      <c r="J6" s="20">
        <f t="shared" si="3"/>
        <v>0</v>
      </c>
      <c r="K6" s="36">
        <v>313.497854942234</v>
      </c>
      <c r="L6" s="41"/>
      <c r="M6" s="38">
        <v>1328.98750092478</v>
      </c>
      <c r="N6" s="41">
        <f t="shared" si="4"/>
        <v>-0.246575342465753</v>
      </c>
      <c r="O6" s="42">
        <v>313.497854942234</v>
      </c>
      <c r="P6" s="43"/>
      <c r="Q6" s="43">
        <v>17.480036404857</v>
      </c>
      <c r="R6" s="42">
        <v>570.339769153042</v>
      </c>
      <c r="S6" s="38">
        <f>VLOOKUP(B6,[1]自有品牌手机收入!$F$2:$G$23,2,0)/10000</f>
        <v>55.8548299999999</v>
      </c>
      <c r="T6" s="20">
        <f t="shared" si="5"/>
        <v>0.397170911731261</v>
      </c>
      <c r="U6" s="41">
        <f t="shared" si="6"/>
        <v>-0.148642788888182</v>
      </c>
      <c r="V6" s="51">
        <v>142.584942288261</v>
      </c>
      <c r="W6" s="43">
        <v>100.368401522122</v>
      </c>
      <c r="X6" s="43">
        <v>9.15096081569206</v>
      </c>
      <c r="Y6" s="42">
        <v>1727.42695652989</v>
      </c>
      <c r="Z6" s="38">
        <f>VLOOKUP(B6,'[1]自有品牌智能硬件收入（已加配额制摊分）'!$H$2:$I$23,2,0)/10000</f>
        <v>1147.81478334483</v>
      </c>
      <c r="AA6" s="20">
        <f t="shared" si="7"/>
        <v>2.69477479423737</v>
      </c>
      <c r="AB6" s="41">
        <f t="shared" si="8"/>
        <v>0.417889675291406</v>
      </c>
      <c r="AC6" s="42">
        <v>31</v>
      </c>
      <c r="AD6" s="43">
        <v>0.764513274336283</v>
      </c>
      <c r="AE6" s="38">
        <v>0</v>
      </c>
      <c r="AF6" s="42">
        <v>264.814717985023</v>
      </c>
      <c r="AG6" s="38">
        <v>19.5489583333333</v>
      </c>
      <c r="AH6" s="38">
        <v>0.764513274336283</v>
      </c>
      <c r="AI6" s="62">
        <v>0</v>
      </c>
      <c r="AJ6" s="63">
        <v>92.6851512947579</v>
      </c>
      <c r="AK6" s="38">
        <v>8.0558407079646</v>
      </c>
      <c r="AL6" s="38">
        <v>0</v>
      </c>
      <c r="AM6" s="60" t="s">
        <v>72</v>
      </c>
      <c r="AN6" s="61">
        <v>1.52777777777778</v>
      </c>
      <c r="AO6" s="75">
        <v>17</v>
      </c>
      <c r="AP6" s="75">
        <v>17</v>
      </c>
      <c r="AQ6" s="76">
        <f>VLOOKUP(B6,[1]渠道类指标!$B$2:$F$22,5,0)</f>
        <v>26</v>
      </c>
      <c r="AR6" s="77">
        <v>1.64705882352941</v>
      </c>
      <c r="AS6" s="20">
        <v>8</v>
      </c>
      <c r="AT6" s="78">
        <v>19992.1185</v>
      </c>
      <c r="AU6" s="78">
        <v>4998.029625</v>
      </c>
      <c r="AV6" s="79">
        <f>VLOOKUP(B6,[1]渠道类指标!$B$2:$F$22,4,0)</f>
        <v>4572</v>
      </c>
      <c r="AW6" s="77">
        <v>0.832928236194678</v>
      </c>
      <c r="AX6" s="20">
        <v>6.66342588955743</v>
      </c>
      <c r="AY6" s="85">
        <v>0.18</v>
      </c>
      <c r="AZ6" s="85">
        <v>0.0735294117647059</v>
      </c>
      <c r="BA6" s="85">
        <v>0.033</v>
      </c>
      <c r="BB6" s="43">
        <v>0</v>
      </c>
      <c r="BC6" s="86"/>
      <c r="BD6" s="43">
        <f t="shared" si="9"/>
        <v>0</v>
      </c>
      <c r="BE6" s="23">
        <v>0.025</v>
      </c>
      <c r="BF6" s="23">
        <v>0.025</v>
      </c>
      <c r="BG6" s="94">
        <v>5.10624166616995</v>
      </c>
      <c r="BH6" s="43">
        <v>3</v>
      </c>
      <c r="BI6" s="95">
        <f t="shared" si="10"/>
        <v>-0.00965464073237133</v>
      </c>
      <c r="BJ6" s="96"/>
      <c r="BK6" s="97"/>
      <c r="BL6" s="98">
        <v>0.83</v>
      </c>
      <c r="BM6" s="105"/>
      <c r="BN6" s="112">
        <v>56.6522008878843</v>
      </c>
      <c r="BO6" s="113">
        <v>199.618919203565</v>
      </c>
      <c r="BP6" s="114">
        <v>0</v>
      </c>
      <c r="BQ6" s="113">
        <v>0.6</v>
      </c>
      <c r="BR6" s="115">
        <v>0.0246617185269769</v>
      </c>
      <c r="BS6" s="116">
        <v>0.0246617185269769</v>
      </c>
      <c r="BT6" s="117">
        <v>39.8661117163536</v>
      </c>
    </row>
    <row r="7" spans="1:72">
      <c r="A7" s="21" t="s">
        <v>70</v>
      </c>
      <c r="B7" s="22" t="s">
        <v>76</v>
      </c>
      <c r="C7" s="23">
        <v>0.048</v>
      </c>
      <c r="D7" s="18">
        <f>VLOOKUP(B7,'[2]2019年2季度虚拟核算'!C:Q,15,0)</f>
        <v>0.0712350881565623</v>
      </c>
      <c r="E7" s="19">
        <f t="shared" si="0"/>
        <v>1.48406433659505</v>
      </c>
      <c r="F7" s="20">
        <f t="shared" si="1"/>
        <v>10</v>
      </c>
      <c r="G7" s="18">
        <v>0.02</v>
      </c>
      <c r="H7" s="18">
        <f>VLOOKUP(B7,'[2]2019年2季度虚拟核算'!C:R,16,0)</f>
        <v>0.02644208857403</v>
      </c>
      <c r="I7" s="19">
        <f t="shared" si="2"/>
        <v>1.3221044287015</v>
      </c>
      <c r="J7" s="20">
        <f t="shared" si="3"/>
        <v>10</v>
      </c>
      <c r="K7" s="36">
        <v>328.404415633459</v>
      </c>
      <c r="L7" s="41"/>
      <c r="M7" s="38">
        <v>1174.50776018274</v>
      </c>
      <c r="N7" s="41">
        <f t="shared" si="4"/>
        <v>-0.246575342465753</v>
      </c>
      <c r="O7" s="42">
        <v>328.404415633459</v>
      </c>
      <c r="P7" s="43"/>
      <c r="Q7" s="43">
        <v>20.0595064876121</v>
      </c>
      <c r="R7" s="42">
        <v>332.766643159152</v>
      </c>
      <c r="S7" s="38">
        <f>VLOOKUP(B7,[1]自有品牌手机收入!$F$2:$G$23,2,0)/10000</f>
        <v>27.781248</v>
      </c>
      <c r="T7" s="20">
        <f t="shared" si="5"/>
        <v>0.338580795229469</v>
      </c>
      <c r="U7" s="41">
        <f t="shared" si="6"/>
        <v>-0.16308966692972</v>
      </c>
      <c r="V7" s="51">
        <v>83.191660789788</v>
      </c>
      <c r="W7" s="43">
        <v>25.8125335221239</v>
      </c>
      <c r="X7" s="43">
        <v>0</v>
      </c>
      <c r="Y7" s="42">
        <v>1262.16379139004</v>
      </c>
      <c r="Z7" s="38">
        <f>VLOOKUP(B7,'[1]自有品牌智能硬件收入（已加配额制摊分）'!$H$2:$I$23,2,0)/10000</f>
        <v>477.760897793104</v>
      </c>
      <c r="AA7" s="20">
        <f t="shared" si="7"/>
        <v>1.5351302869639</v>
      </c>
      <c r="AB7" s="41">
        <f t="shared" si="8"/>
        <v>0.131949933771921</v>
      </c>
      <c r="AC7" s="42">
        <v>279.537412765057</v>
      </c>
      <c r="AD7" s="43">
        <v>0.0876106194690266</v>
      </c>
      <c r="AE7" s="38">
        <v>0</v>
      </c>
      <c r="AF7" s="42">
        <v>202.861677730385</v>
      </c>
      <c r="AG7" s="38">
        <v>14.1239583333333</v>
      </c>
      <c r="AH7" s="38">
        <v>0.0876106194690266</v>
      </c>
      <c r="AI7" s="62">
        <v>0</v>
      </c>
      <c r="AJ7" s="63">
        <v>71.0015872056349</v>
      </c>
      <c r="AK7" s="38">
        <v>0.772654867256637</v>
      </c>
      <c r="AL7" s="38">
        <v>0</v>
      </c>
      <c r="AM7" s="60" t="s">
        <v>72</v>
      </c>
      <c r="AN7" s="61">
        <v>3.13701201201201</v>
      </c>
      <c r="AO7" s="75">
        <v>12</v>
      </c>
      <c r="AP7" s="75">
        <v>12</v>
      </c>
      <c r="AQ7" s="76">
        <f>VLOOKUP(B7,[1]渠道类指标!$B$2:$F$22,5,0)</f>
        <v>8</v>
      </c>
      <c r="AR7" s="77">
        <v>0.416666666666667</v>
      </c>
      <c r="AS7" s="20">
        <v>0</v>
      </c>
      <c r="AT7" s="78">
        <v>3822.5</v>
      </c>
      <c r="AU7" s="78">
        <v>955.625</v>
      </c>
      <c r="AV7" s="79">
        <f>VLOOKUP(B7,[1]渠道类指标!$B$2:$F$22,4,0)</f>
        <v>2432</v>
      </c>
      <c r="AW7" s="77">
        <v>0.745062132112492</v>
      </c>
      <c r="AX7" s="20">
        <v>0</v>
      </c>
      <c r="AY7" s="85">
        <v>0.12</v>
      </c>
      <c r="AZ7" s="85">
        <v>0.0490196078431373</v>
      </c>
      <c r="BA7" s="85">
        <v>0.1146</v>
      </c>
      <c r="BB7" s="43">
        <v>5</v>
      </c>
      <c r="BC7" s="86"/>
      <c r="BD7" s="43">
        <f t="shared" si="9"/>
        <v>0</v>
      </c>
      <c r="BE7" s="23">
        <v>0.025</v>
      </c>
      <c r="BF7" s="23">
        <v>0.025</v>
      </c>
      <c r="BG7" s="94">
        <v>1.26865789448344</v>
      </c>
      <c r="BH7" s="43">
        <v>3</v>
      </c>
      <c r="BI7" s="95">
        <f t="shared" si="10"/>
        <v>0.02644208857403</v>
      </c>
      <c r="BJ7" s="96"/>
      <c r="BK7" s="97"/>
      <c r="BL7" s="98">
        <v>0</v>
      </c>
      <c r="BM7" s="105"/>
      <c r="BN7" s="112">
        <v>51.1965184996241</v>
      </c>
      <c r="BO7" s="113">
        <v>116.468325105703</v>
      </c>
      <c r="BP7" s="114">
        <v>1.3221044287015</v>
      </c>
      <c r="BQ7" s="113">
        <v>0.45</v>
      </c>
      <c r="BR7" s="115">
        <v>0.00172749472348279</v>
      </c>
      <c r="BS7" s="116">
        <v>0.00172749472348279</v>
      </c>
      <c r="BT7" s="117">
        <v>46.0039007834399</v>
      </c>
    </row>
    <row r="8" spans="1:72">
      <c r="A8" s="21" t="s">
        <v>70</v>
      </c>
      <c r="B8" s="22" t="s">
        <v>77</v>
      </c>
      <c r="C8" s="24">
        <v>0.048</v>
      </c>
      <c r="D8" s="25">
        <f>VLOOKUP(B8,'[2]2019年2季度虚拟核算'!C:Q,15,0)</f>
        <v>0.108506597893128</v>
      </c>
      <c r="E8" s="26">
        <f t="shared" si="0"/>
        <v>2.26055412277349</v>
      </c>
      <c r="F8" s="27">
        <f t="shared" si="1"/>
        <v>10</v>
      </c>
      <c r="G8" s="25">
        <v>0.02</v>
      </c>
      <c r="H8" s="25">
        <f>VLOOKUP(B8,'[2]2019年2季度虚拟核算'!C:R,16,0)</f>
        <v>0.0350165109761206</v>
      </c>
      <c r="I8" s="26">
        <f t="shared" si="2"/>
        <v>1.75082554880603</v>
      </c>
      <c r="J8" s="27">
        <f t="shared" si="3"/>
        <v>10</v>
      </c>
      <c r="K8" s="45">
        <v>32239.1552650154</v>
      </c>
      <c r="L8" s="41"/>
      <c r="M8" s="38">
        <v>15444.38</v>
      </c>
      <c r="N8" s="41">
        <f t="shared" si="4"/>
        <v>-0.246575342465753</v>
      </c>
      <c r="O8" s="42">
        <v>32239.1552650154</v>
      </c>
      <c r="P8" s="43"/>
      <c r="Q8" s="43">
        <v>0</v>
      </c>
      <c r="R8" s="42">
        <v>4079.8077913159</v>
      </c>
      <c r="S8" s="38">
        <f>SUM(S3:S7)</f>
        <v>442.985009999998</v>
      </c>
      <c r="T8" s="20">
        <f t="shared" si="5"/>
        <v>0.440351705332144</v>
      </c>
      <c r="U8" s="41">
        <f t="shared" si="6"/>
        <v>-0.137995469918101</v>
      </c>
      <c r="V8" s="51">
        <v>1019.95194782898</v>
      </c>
      <c r="W8" s="43">
        <v>488.197823787608</v>
      </c>
      <c r="X8" s="43">
        <v>0</v>
      </c>
      <c r="Y8" s="42">
        <f>SUM(Y3:Y7)</f>
        <v>15769.0706324413</v>
      </c>
      <c r="Z8" s="38">
        <f>SUM(Z3:Z7)</f>
        <v>7305.45178586207</v>
      </c>
      <c r="AA8" s="20">
        <f t="shared" si="7"/>
        <v>1.87884665282962</v>
      </c>
      <c r="AB8" s="41">
        <f t="shared" si="8"/>
        <v>0.216701914396344</v>
      </c>
      <c r="AC8" s="42">
        <v>2298.26879175375</v>
      </c>
      <c r="AD8" s="43">
        <v>1844.11745384956</v>
      </c>
      <c r="AE8" s="38">
        <v>8.02394158797397</v>
      </c>
      <c r="AF8" s="42">
        <f>SUM(AF3:AF7)</f>
        <v>2806.4700872543</v>
      </c>
      <c r="AG8" s="38">
        <v>212.347916666667</v>
      </c>
      <c r="AH8" s="38">
        <v>17.957610619469</v>
      </c>
      <c r="AI8" s="62">
        <v>0</v>
      </c>
      <c r="AJ8" s="63">
        <f>SUM(AJ3:AJ7)</f>
        <v>982.264530539004</v>
      </c>
      <c r="AK8" s="38">
        <v>63.547610619469</v>
      </c>
      <c r="AL8" s="38">
        <v>0</v>
      </c>
      <c r="AM8" s="60" t="s">
        <v>72</v>
      </c>
      <c r="AN8" s="64">
        <v>8</v>
      </c>
      <c r="AO8" s="75">
        <f>SUM(AO3:AO7)</f>
        <v>120</v>
      </c>
      <c r="AP8" s="75">
        <f>SUM(AP3:AP7)</f>
        <v>120</v>
      </c>
      <c r="AQ8" s="75">
        <f>SUM(AQ3:AQ7)</f>
        <v>139</v>
      </c>
      <c r="AR8" s="77">
        <v>1.1</v>
      </c>
      <c r="AS8" s="20">
        <v>8</v>
      </c>
      <c r="AT8" s="78">
        <f>SUM(AT3:AT7)</f>
        <v>174729.4578</v>
      </c>
      <c r="AU8" s="78">
        <v>43682.36445</v>
      </c>
      <c r="AV8" s="78">
        <f>SUM(AV3:AV7)</f>
        <v>16141</v>
      </c>
      <c r="AW8" s="77">
        <v>0.302021197023368</v>
      </c>
      <c r="AX8" s="20">
        <v>0</v>
      </c>
      <c r="AY8" s="85">
        <f>SUM(AY3:AY7)</f>
        <v>3.44</v>
      </c>
      <c r="AZ8" s="85">
        <v>1.40522875816993</v>
      </c>
      <c r="BA8" s="85">
        <v>0.8136</v>
      </c>
      <c r="BB8" s="43">
        <v>0</v>
      </c>
      <c r="BC8" s="86"/>
      <c r="BD8" s="43">
        <f t="shared" si="9"/>
        <v>0</v>
      </c>
      <c r="BE8" s="24">
        <v>0.025</v>
      </c>
      <c r="BF8" s="24">
        <v>0.025</v>
      </c>
      <c r="BG8" s="94">
        <v>9.51336150916558</v>
      </c>
      <c r="BH8" s="43">
        <v>3</v>
      </c>
      <c r="BI8" s="95">
        <f t="shared" si="10"/>
        <v>0.0350165109761206</v>
      </c>
      <c r="BJ8" s="96"/>
      <c r="BK8" s="97"/>
      <c r="BL8" s="98">
        <v>-2.22044604925031e-17</v>
      </c>
      <c r="BM8" s="105"/>
      <c r="BN8" s="112">
        <v>47.023941587974</v>
      </c>
      <c r="BO8" s="113">
        <v>1427.93272696057</v>
      </c>
      <c r="BP8" s="114">
        <v>1.5</v>
      </c>
      <c r="BQ8" s="113">
        <f>SUM(BQ3:BQ7)</f>
        <v>7.3</v>
      </c>
      <c r="BR8" s="115">
        <v>0.0269466350774244</v>
      </c>
      <c r="BS8" s="116">
        <v>0.0269466350774244</v>
      </c>
      <c r="BT8" s="117">
        <v>43.6872165179569</v>
      </c>
    </row>
    <row r="9" spans="1:72">
      <c r="A9" s="21" t="s">
        <v>78</v>
      </c>
      <c r="B9" s="22" t="s">
        <v>79</v>
      </c>
      <c r="C9" s="23">
        <v>0.048</v>
      </c>
      <c r="D9" s="18">
        <f>VLOOKUP(B9,'[2]2019年2季度虚拟核算'!C:Q,15,0)</f>
        <v>0.118914737187866</v>
      </c>
      <c r="E9" s="19">
        <f t="shared" si="0"/>
        <v>2.47739035808055</v>
      </c>
      <c r="F9" s="20">
        <f t="shared" si="1"/>
        <v>10</v>
      </c>
      <c r="G9" s="18">
        <v>0.02</v>
      </c>
      <c r="H9" s="18">
        <f>VLOOKUP(B9,'[2]2019年2季度虚拟核算'!C:R,16,0)</f>
        <v>0.0635907368308992</v>
      </c>
      <c r="I9" s="19">
        <f t="shared" si="2"/>
        <v>3.17953684154496</v>
      </c>
      <c r="J9" s="20">
        <f t="shared" si="3"/>
        <v>10</v>
      </c>
      <c r="K9" s="36">
        <v>32842.3798760244</v>
      </c>
      <c r="L9" s="41"/>
      <c r="M9" s="38">
        <v>8947.21189250282</v>
      </c>
      <c r="N9" s="41">
        <f t="shared" si="4"/>
        <v>-0.246575342465753</v>
      </c>
      <c r="O9" s="42">
        <v>32842.3798760244</v>
      </c>
      <c r="P9" s="43"/>
      <c r="Q9" s="43">
        <v>0</v>
      </c>
      <c r="R9" s="42">
        <v>1474.5424776082</v>
      </c>
      <c r="S9" s="38">
        <f>VLOOKUP(B9,[1]自有品牌手机收入!$F$2:$G$23,2,0)/10000</f>
        <v>24.955766</v>
      </c>
      <c r="T9" s="20">
        <f t="shared" si="5"/>
        <v>0.0686378975047313</v>
      </c>
      <c r="U9" s="41">
        <f t="shared" si="6"/>
        <v>-0.229650929382395</v>
      </c>
      <c r="V9" s="51">
        <v>368.635619402051</v>
      </c>
      <c r="W9" s="43">
        <v>18.6084767079646</v>
      </c>
      <c r="X9" s="43">
        <v>0</v>
      </c>
      <c r="Y9" s="42">
        <v>7884.8421250225</v>
      </c>
      <c r="Z9" s="38">
        <f>VLOOKUP(B9,'[1]自有品牌智能硬件收入（已加配额制摊分）'!$H$2:$I$23,2,0)/10000</f>
        <v>3097.79411268966</v>
      </c>
      <c r="AA9" s="20">
        <f t="shared" si="7"/>
        <v>1.59334529778553</v>
      </c>
      <c r="AB9" s="41">
        <f t="shared" si="8"/>
        <v>0.14630432000191</v>
      </c>
      <c r="AC9" s="42">
        <v>1633.11113708247</v>
      </c>
      <c r="AD9" s="43">
        <v>1352.24469026549</v>
      </c>
      <c r="AE9" s="38">
        <v>8.28017554690893</v>
      </c>
      <c r="AF9" s="42">
        <v>1581.23504416641</v>
      </c>
      <c r="AG9" s="38">
        <v>120.895833333333</v>
      </c>
      <c r="AH9" s="38">
        <v>1.42469026548673</v>
      </c>
      <c r="AI9" s="62">
        <v>0</v>
      </c>
      <c r="AJ9" s="63">
        <v>553.432265458243</v>
      </c>
      <c r="AK9" s="38">
        <v>23.1328318584071</v>
      </c>
      <c r="AL9" s="38">
        <v>0</v>
      </c>
      <c r="AM9" s="60" t="s">
        <v>72</v>
      </c>
      <c r="AN9" s="61">
        <v>0.895770488631191</v>
      </c>
      <c r="AO9" s="75">
        <v>62</v>
      </c>
      <c r="AP9" s="75">
        <v>62</v>
      </c>
      <c r="AQ9" s="76">
        <f>VLOOKUP(B9,[1]渠道类指标!$B$2:$F$22,5,0)</f>
        <v>82</v>
      </c>
      <c r="AR9" s="77">
        <v>1.01612903225806</v>
      </c>
      <c r="AS9" s="20">
        <v>8</v>
      </c>
      <c r="AT9" s="78">
        <v>198350.525</v>
      </c>
      <c r="AU9" s="78">
        <v>49587.63125</v>
      </c>
      <c r="AV9" s="79">
        <f>VLOOKUP(B9,[1]渠道类指标!$B$2:$F$22,4,0)</f>
        <v>5909</v>
      </c>
      <c r="AW9" s="77">
        <v>0.213863815081911</v>
      </c>
      <c r="AX9" s="20">
        <v>0</v>
      </c>
      <c r="AY9" s="85">
        <v>1.8</v>
      </c>
      <c r="AZ9" s="85">
        <v>0.735294117647059</v>
      </c>
      <c r="BA9" s="85">
        <v>1.1051</v>
      </c>
      <c r="BB9" s="43">
        <v>5</v>
      </c>
      <c r="BC9" s="86"/>
      <c r="BD9" s="43">
        <f t="shared" si="9"/>
        <v>0</v>
      </c>
      <c r="BE9" s="23">
        <v>0.025</v>
      </c>
      <c r="BF9" s="23">
        <v>0.025</v>
      </c>
      <c r="BG9" s="94">
        <v>-1.77449172937221</v>
      </c>
      <c r="BH9" s="43">
        <v>0</v>
      </c>
      <c r="BI9" s="95">
        <f t="shared" si="10"/>
        <v>0.0635907368308992</v>
      </c>
      <c r="BJ9" s="99">
        <v>3</v>
      </c>
      <c r="BK9" s="97"/>
      <c r="BL9" s="98">
        <v>-1</v>
      </c>
      <c r="BM9" s="105"/>
      <c r="BN9" s="112">
        <v>44.1759460355401</v>
      </c>
      <c r="BO9" s="113">
        <v>516.089867162872</v>
      </c>
      <c r="BP9" s="114">
        <v>1.5</v>
      </c>
      <c r="BQ9" s="113">
        <v>4.51</v>
      </c>
      <c r="BR9" s="115">
        <v>0.00360399365228537</v>
      </c>
      <c r="BS9" s="116">
        <v>0.00360399365228537</v>
      </c>
      <c r="BT9" s="117">
        <v>40.886631557239</v>
      </c>
    </row>
    <row r="10" spans="1:72">
      <c r="A10" s="21" t="s">
        <v>78</v>
      </c>
      <c r="B10" s="22" t="s">
        <v>80</v>
      </c>
      <c r="C10" s="23">
        <v>0.048</v>
      </c>
      <c r="D10" s="18">
        <f>VLOOKUP(B10,'[2]2019年2季度虚拟核算'!C:Q,15,0)</f>
        <v>0.112295453993162</v>
      </c>
      <c r="E10" s="19">
        <f t="shared" si="0"/>
        <v>2.33948862485755</v>
      </c>
      <c r="F10" s="20">
        <f t="shared" si="1"/>
        <v>10</v>
      </c>
      <c r="G10" s="18">
        <v>0.02</v>
      </c>
      <c r="H10" s="18">
        <f>VLOOKUP(B10,'[2]2019年2季度虚拟核算'!C:R,16,0)</f>
        <v>0.0152333647094823</v>
      </c>
      <c r="I10" s="19">
        <f t="shared" si="2"/>
        <v>0.761668235474113</v>
      </c>
      <c r="J10" s="20">
        <f t="shared" si="3"/>
        <v>7.61668235474113</v>
      </c>
      <c r="K10" s="36">
        <v>1453.48452366776</v>
      </c>
      <c r="L10" s="41"/>
      <c r="M10" s="38">
        <v>2315.69161743318</v>
      </c>
      <c r="N10" s="41">
        <f t="shared" si="4"/>
        <v>-0.246575342465753</v>
      </c>
      <c r="O10" s="42">
        <v>1453.48452366776</v>
      </c>
      <c r="P10" s="43"/>
      <c r="Q10" s="43">
        <v>16.4991722939487</v>
      </c>
      <c r="R10" s="42">
        <v>714.718931844288</v>
      </c>
      <c r="S10" s="38">
        <f>VLOOKUP(B10,[1]自有品牌手机收入!$F$2:$G$23,2,0)/10000</f>
        <v>275.208178000001</v>
      </c>
      <c r="T10" s="20">
        <f t="shared" si="5"/>
        <v>1.56162374535419</v>
      </c>
      <c r="U10" s="41">
        <f t="shared" si="6"/>
        <v>0.13848256734761</v>
      </c>
      <c r="V10" s="51">
        <v>178.679732961072</v>
      </c>
      <c r="W10" s="43">
        <v>109.575542230088</v>
      </c>
      <c r="X10" s="43">
        <v>7.97226425954808</v>
      </c>
      <c r="Y10" s="42">
        <v>3350.14302261318</v>
      </c>
      <c r="Z10" s="38">
        <f>VLOOKUP(B10,'[1]自有品牌智能硬件收入（已加配额制摊分）'!$H$2:$I$23,2,0)/10000</f>
        <v>2242.39346124138</v>
      </c>
      <c r="AA10" s="20">
        <f t="shared" si="7"/>
        <v>2.71455612434878</v>
      </c>
      <c r="AB10" s="41">
        <f t="shared" si="8"/>
        <v>0.422767263538054</v>
      </c>
      <c r="AC10" s="42">
        <v>31</v>
      </c>
      <c r="AD10" s="43">
        <v>24.6849557522124</v>
      </c>
      <c r="AE10" s="38">
        <v>7.96288895232658</v>
      </c>
      <c r="AF10" s="42">
        <v>546.278600978111</v>
      </c>
      <c r="AG10" s="38">
        <v>39.6302083333333</v>
      </c>
      <c r="AH10" s="38">
        <v>24.6849557522124</v>
      </c>
      <c r="AI10" s="62">
        <v>5.57</v>
      </c>
      <c r="AJ10" s="63">
        <v>191.197510342339</v>
      </c>
      <c r="AK10" s="38">
        <v>25.7132743362832</v>
      </c>
      <c r="AL10" s="38">
        <v>3.24415079022629</v>
      </c>
      <c r="AM10" s="60" t="s">
        <v>72</v>
      </c>
      <c r="AN10" s="61">
        <v>1.83505785594061</v>
      </c>
      <c r="AO10" s="75">
        <v>33</v>
      </c>
      <c r="AP10" s="75">
        <v>33</v>
      </c>
      <c r="AQ10" s="76">
        <f>VLOOKUP(B10,[1]渠道类指标!$B$2:$F$22,5,0)</f>
        <v>42</v>
      </c>
      <c r="AR10" s="77">
        <v>1.12121212121212</v>
      </c>
      <c r="AS10" s="20">
        <v>8</v>
      </c>
      <c r="AT10" s="78">
        <v>16741.76</v>
      </c>
      <c r="AU10" s="78">
        <v>4185.44</v>
      </c>
      <c r="AV10" s="79">
        <f>VLOOKUP(B10,[1]渠道类指标!$B$2:$F$22,4,0)</f>
        <v>2222</v>
      </c>
      <c r="AW10" s="77">
        <v>0.133558239993884</v>
      </c>
      <c r="AX10" s="20">
        <v>0</v>
      </c>
      <c r="AY10" s="85">
        <v>0.58</v>
      </c>
      <c r="AZ10" s="85">
        <v>0.236928104575163</v>
      </c>
      <c r="BA10" s="85">
        <v>0.2643</v>
      </c>
      <c r="BB10" s="43">
        <v>5</v>
      </c>
      <c r="BC10" s="86"/>
      <c r="BD10" s="43">
        <f t="shared" si="9"/>
        <v>0</v>
      </c>
      <c r="BE10" s="23">
        <v>0.025</v>
      </c>
      <c r="BF10" s="23">
        <v>0.025</v>
      </c>
      <c r="BG10" s="94">
        <v>0.990094675696405</v>
      </c>
      <c r="BH10" s="43">
        <v>3</v>
      </c>
      <c r="BI10" s="95">
        <f t="shared" si="10"/>
        <v>0.0152333647094823</v>
      </c>
      <c r="BJ10" s="96"/>
      <c r="BK10" s="97"/>
      <c r="BL10" s="98">
        <v>0.17</v>
      </c>
      <c r="BM10" s="105"/>
      <c r="BN10" s="112">
        <v>76.87423877336</v>
      </c>
      <c r="BO10" s="113">
        <v>250.151626145501</v>
      </c>
      <c r="BP10" s="114">
        <v>0.761668235474113</v>
      </c>
      <c r="BQ10" s="113">
        <v>1.31</v>
      </c>
      <c r="BR10" s="115">
        <v>0.796288895232658</v>
      </c>
      <c r="BS10" s="116">
        <v>0.796288895232658</v>
      </c>
      <c r="BT10" s="117">
        <v>71.7769824110437</v>
      </c>
    </row>
    <row r="11" spans="1:72">
      <c r="A11" s="21" t="s">
        <v>78</v>
      </c>
      <c r="B11" s="22" t="s">
        <v>81</v>
      </c>
      <c r="C11" s="23">
        <v>0.048</v>
      </c>
      <c r="D11" s="18">
        <f>VLOOKUP(B11,'[2]2019年2季度虚拟核算'!C:Q,15,0)</f>
        <v>0.0951147407446464</v>
      </c>
      <c r="E11" s="19">
        <f t="shared" si="0"/>
        <v>1.9815570988468</v>
      </c>
      <c r="F11" s="20">
        <f t="shared" si="1"/>
        <v>10</v>
      </c>
      <c r="G11" s="18">
        <v>0.02</v>
      </c>
      <c r="H11" s="18">
        <f>VLOOKUP(B11,'[2]2019年2季度虚拟核算'!C:R,16,0)</f>
        <v>-0.0416309701176505</v>
      </c>
      <c r="I11" s="44">
        <f t="shared" si="2"/>
        <v>-2.08154850588252</v>
      </c>
      <c r="J11" s="20">
        <f t="shared" si="3"/>
        <v>0</v>
      </c>
      <c r="K11" s="36">
        <v>1352.83193951675</v>
      </c>
      <c r="L11" s="41"/>
      <c r="M11" s="38">
        <v>1053.8858517324</v>
      </c>
      <c r="N11" s="41">
        <f t="shared" si="4"/>
        <v>-0.246575342465753</v>
      </c>
      <c r="O11" s="42">
        <v>1352.83193951675</v>
      </c>
      <c r="P11" s="43"/>
      <c r="Q11" s="43">
        <v>11.6853300947588</v>
      </c>
      <c r="R11" s="42">
        <v>307.110153623925</v>
      </c>
      <c r="S11" s="38">
        <f>VLOOKUP(B11,[1]自有品牌手机收入!$F$2:$G$23,2,0)/10000</f>
        <v>64.99317</v>
      </c>
      <c r="T11" s="20">
        <f t="shared" si="5"/>
        <v>0.858269935254048</v>
      </c>
      <c r="U11" s="41">
        <f t="shared" si="6"/>
        <v>-0.0349471392524265</v>
      </c>
      <c r="V11" s="51">
        <v>76.7775384059812</v>
      </c>
      <c r="W11" s="43">
        <v>27.3150230088496</v>
      </c>
      <c r="X11" s="43">
        <v>0</v>
      </c>
      <c r="Y11" s="42">
        <v>2637.62282950873</v>
      </c>
      <c r="Z11" s="38">
        <f>VLOOKUP(B11,'[1]自有品牌智能硬件收入（已加配额制摊分）'!$H$2:$I$23,2,0)/10000</f>
        <v>1729.90652568966</v>
      </c>
      <c r="AA11" s="20">
        <f t="shared" si="7"/>
        <v>2.6598693120044</v>
      </c>
      <c r="AB11" s="41">
        <f t="shared" si="8"/>
        <v>0.40928284405588</v>
      </c>
      <c r="AC11" s="42">
        <v>31</v>
      </c>
      <c r="AD11" s="43">
        <v>3.50017699115044</v>
      </c>
      <c r="AE11" s="38">
        <v>0</v>
      </c>
      <c r="AF11" s="42">
        <v>427.597298319395</v>
      </c>
      <c r="AG11" s="38">
        <v>30.6395833333333</v>
      </c>
      <c r="AH11" s="38">
        <v>3.50017699115044</v>
      </c>
      <c r="AI11" s="62">
        <v>0</v>
      </c>
      <c r="AJ11" s="63">
        <v>149.659054411788</v>
      </c>
      <c r="AK11" s="38">
        <v>52.5084955752213</v>
      </c>
      <c r="AL11" s="38">
        <v>5</v>
      </c>
      <c r="AM11" s="60" t="s">
        <v>72</v>
      </c>
      <c r="AN11" s="61">
        <v>3.3529810298103</v>
      </c>
      <c r="AO11" s="75">
        <v>14</v>
      </c>
      <c r="AP11" s="75">
        <v>14</v>
      </c>
      <c r="AQ11" s="76">
        <f>VLOOKUP(B11,[1]渠道类指标!$B$2:$F$22,5,0)</f>
        <v>13</v>
      </c>
      <c r="AR11" s="77">
        <v>0.928571428571429</v>
      </c>
      <c r="AS11" s="20">
        <v>7.42857142857143</v>
      </c>
      <c r="AT11" s="78">
        <v>3317.6</v>
      </c>
      <c r="AU11" s="78">
        <v>829.4</v>
      </c>
      <c r="AV11" s="79">
        <f>VLOOKUP(B11,[1]渠道类指标!$B$2:$F$22,4,0)</f>
        <v>1744</v>
      </c>
      <c r="AW11" s="77">
        <v>1.30455751145406</v>
      </c>
      <c r="AX11" s="20">
        <v>8</v>
      </c>
      <c r="AY11" s="85">
        <v>0.24</v>
      </c>
      <c r="AZ11" s="85">
        <v>0.0980392156862745</v>
      </c>
      <c r="BA11" s="85">
        <v>0.132</v>
      </c>
      <c r="BB11" s="43">
        <v>5</v>
      </c>
      <c r="BC11" s="86"/>
      <c r="BD11" s="43">
        <f t="shared" si="9"/>
        <v>0</v>
      </c>
      <c r="BE11" s="23">
        <v>0.025</v>
      </c>
      <c r="BF11" s="23">
        <v>0.025</v>
      </c>
      <c r="BG11" s="94">
        <v>0.608794357217028</v>
      </c>
      <c r="BH11" s="43">
        <v>3</v>
      </c>
      <c r="BI11" s="95">
        <f t="shared" si="10"/>
        <v>-0.0416309701176505</v>
      </c>
      <c r="BJ11" s="96"/>
      <c r="BK11" s="97"/>
      <c r="BL11" s="98">
        <v>1.17</v>
      </c>
      <c r="BM11" s="105"/>
      <c r="BN11" s="112">
        <v>54.6368825531406</v>
      </c>
      <c r="BO11" s="113">
        <v>107.488553768374</v>
      </c>
      <c r="BP11" s="114">
        <v>0</v>
      </c>
      <c r="BQ11" s="113">
        <v>0.99</v>
      </c>
      <c r="BR11" s="115">
        <v>0.112908935198401</v>
      </c>
      <c r="BS11" s="116">
        <v>0.112908935198401</v>
      </c>
      <c r="BT11" s="117">
        <v>39.1711666219437</v>
      </c>
    </row>
    <row r="12" spans="1:72">
      <c r="A12" s="21" t="s">
        <v>78</v>
      </c>
      <c r="B12" s="22" t="s">
        <v>82</v>
      </c>
      <c r="C12" s="23">
        <v>0.048</v>
      </c>
      <c r="D12" s="18">
        <f>VLOOKUP(B12,'[2]2019年2季度虚拟核算'!C:Q,15,0)</f>
        <v>0.0305246655057535</v>
      </c>
      <c r="E12" s="19">
        <f t="shared" si="0"/>
        <v>0.635930531369865</v>
      </c>
      <c r="F12" s="20">
        <f t="shared" si="1"/>
        <v>6.35930531369865</v>
      </c>
      <c r="G12" s="18">
        <v>0.02</v>
      </c>
      <c r="H12" s="18">
        <f>VLOOKUP(B12,'[2]2019年2季度虚拟核算'!C:R,16,0)</f>
        <v>-0.00316147986699769</v>
      </c>
      <c r="I12" s="19">
        <f t="shared" si="2"/>
        <v>-0.158073993349885</v>
      </c>
      <c r="J12" s="20">
        <f t="shared" si="3"/>
        <v>0</v>
      </c>
      <c r="K12" s="36">
        <v>968.617885223039</v>
      </c>
      <c r="L12" s="41"/>
      <c r="M12" s="38">
        <v>1902.11249182081</v>
      </c>
      <c r="N12" s="41">
        <f t="shared" si="4"/>
        <v>-0.246575342465753</v>
      </c>
      <c r="O12" s="42">
        <v>968.617885223039</v>
      </c>
      <c r="P12" s="43"/>
      <c r="Q12" s="43">
        <v>18.2924694130242</v>
      </c>
      <c r="R12" s="42">
        <v>531.20930202405</v>
      </c>
      <c r="S12" s="38">
        <f>VLOOKUP(B12,[1]自有品牌手机收入!$F$2:$G$23,2,0)/10000</f>
        <v>123.179749</v>
      </c>
      <c r="T12" s="20">
        <f t="shared" si="5"/>
        <v>0.940424637681277</v>
      </c>
      <c r="U12" s="41">
        <f t="shared" si="6"/>
        <v>-0.0146898153662605</v>
      </c>
      <c r="V12" s="51">
        <v>132.802325506012</v>
      </c>
      <c r="W12" s="43">
        <v>1.68406952212389</v>
      </c>
      <c r="X12" s="43">
        <v>0</v>
      </c>
      <c r="Y12" s="42">
        <v>2296.82661426958</v>
      </c>
      <c r="Z12" s="38">
        <f>VLOOKUP(B12,'[1]自有品牌智能硬件收入（已加配额制摊分）'!$H$2:$I$23,2,0)/10000</f>
        <v>1097.06413844828</v>
      </c>
      <c r="AA12" s="20">
        <f t="shared" si="7"/>
        <v>1.93710945956606</v>
      </c>
      <c r="AB12" s="41">
        <f t="shared" si="8"/>
        <v>0.231068085920398</v>
      </c>
      <c r="AC12" s="42">
        <v>281.031830630711</v>
      </c>
      <c r="AD12" s="43">
        <v>3.27787610619469</v>
      </c>
      <c r="AE12" s="38">
        <v>0</v>
      </c>
      <c r="AF12" s="42">
        <v>350.463108003545</v>
      </c>
      <c r="AG12" s="38">
        <v>26.64375</v>
      </c>
      <c r="AH12" s="38">
        <v>3.27787610619469</v>
      </c>
      <c r="AI12" s="62">
        <v>0</v>
      </c>
      <c r="AJ12" s="63">
        <v>122.662087801241</v>
      </c>
      <c r="AK12" s="38">
        <v>22.0120353982301</v>
      </c>
      <c r="AL12" s="38">
        <v>4.13080654904623</v>
      </c>
      <c r="AM12" s="60" t="s">
        <v>72</v>
      </c>
      <c r="AN12" s="61">
        <v>3.48966077557209</v>
      </c>
      <c r="AO12" s="75">
        <v>31</v>
      </c>
      <c r="AP12" s="75">
        <v>31</v>
      </c>
      <c r="AQ12" s="76">
        <f>VLOOKUP(B12,[1]渠道类指标!$B$2:$F$22,5,0)</f>
        <v>35</v>
      </c>
      <c r="AR12" s="77">
        <v>1</v>
      </c>
      <c r="AS12" s="20">
        <v>8</v>
      </c>
      <c r="AT12" s="78">
        <v>14574.1386</v>
      </c>
      <c r="AU12" s="78">
        <v>3643.53465</v>
      </c>
      <c r="AV12" s="79">
        <f>VLOOKUP(B12,[1]渠道类指标!$B$2:$F$22,4,0)</f>
        <v>16686</v>
      </c>
      <c r="AW12" s="77">
        <v>0.100451905953467</v>
      </c>
      <c r="AX12" s="20">
        <v>0</v>
      </c>
      <c r="AY12" s="85">
        <v>0.3</v>
      </c>
      <c r="AZ12" s="85">
        <v>0.122549019607843</v>
      </c>
      <c r="BA12" s="85">
        <v>0.283</v>
      </c>
      <c r="BB12" s="43">
        <v>5</v>
      </c>
      <c r="BC12" s="86"/>
      <c r="BD12" s="43">
        <f t="shared" si="9"/>
        <v>0</v>
      </c>
      <c r="BE12" s="23">
        <v>0.025</v>
      </c>
      <c r="BF12" s="23">
        <v>0.025</v>
      </c>
      <c r="BG12" s="94">
        <v>4.1136406136448</v>
      </c>
      <c r="BH12" s="43">
        <v>3</v>
      </c>
      <c r="BI12" s="95">
        <f t="shared" si="10"/>
        <v>-0.00316147986699769</v>
      </c>
      <c r="BJ12" s="99">
        <v>5</v>
      </c>
      <c r="BK12" s="97"/>
      <c r="BL12" s="98">
        <v>1</v>
      </c>
      <c r="BM12" s="105"/>
      <c r="BN12" s="112">
        <v>54.2722420513411</v>
      </c>
      <c r="BO12" s="113">
        <v>185.923255708417</v>
      </c>
      <c r="BP12" s="114">
        <v>-0.158073993349885</v>
      </c>
      <c r="BQ12" s="113">
        <v>0.79</v>
      </c>
      <c r="BR12" s="115">
        <v>0.0374119390182607</v>
      </c>
      <c r="BS12" s="116">
        <v>0.0374119390182607</v>
      </c>
      <c r="BT12" s="117">
        <v>37.0082794030741</v>
      </c>
    </row>
    <row r="13" spans="1:72">
      <c r="A13" s="21" t="s">
        <v>78</v>
      </c>
      <c r="B13" s="22" t="s">
        <v>83</v>
      </c>
      <c r="C13" s="23">
        <v>0.048</v>
      </c>
      <c r="D13" s="18">
        <f>VLOOKUP(B13,'[2]2019年2季度虚拟核算'!C:Q,15,0)</f>
        <v>0.0686682073280875</v>
      </c>
      <c r="E13" s="19">
        <f t="shared" si="0"/>
        <v>1.43058765266849</v>
      </c>
      <c r="F13" s="20">
        <f t="shared" si="1"/>
        <v>10</v>
      </c>
      <c r="G13" s="18">
        <v>0.02</v>
      </c>
      <c r="H13" s="18">
        <f>VLOOKUP(B13,'[2]2019年2季度虚拟核算'!C:R,16,0)</f>
        <v>0.00342550380578913</v>
      </c>
      <c r="I13" s="44">
        <f t="shared" si="2"/>
        <v>0.171275190289457</v>
      </c>
      <c r="J13" s="20">
        <f t="shared" si="3"/>
        <v>0</v>
      </c>
      <c r="K13" s="36">
        <v>174.514824686877</v>
      </c>
      <c r="L13" s="41"/>
      <c r="M13" s="38">
        <v>592.196420732995</v>
      </c>
      <c r="N13" s="41">
        <f t="shared" si="4"/>
        <v>-0.246575342465753</v>
      </c>
      <c r="O13" s="42">
        <v>174.514824686877</v>
      </c>
      <c r="P13" s="43"/>
      <c r="Q13" s="43">
        <v>16.1347343698145</v>
      </c>
      <c r="R13" s="42">
        <v>474.896506548549</v>
      </c>
      <c r="S13" s="38">
        <f>VLOOKUP(B13,[1]自有品牌手机收入!$F$2:$G$23,2,0)/10000</f>
        <v>91.971036</v>
      </c>
      <c r="T13" s="20">
        <f t="shared" si="5"/>
        <v>0.785420909306834</v>
      </c>
      <c r="U13" s="41">
        <f t="shared" si="6"/>
        <v>-0.0529099127736573</v>
      </c>
      <c r="V13" s="51">
        <v>118.724126637137</v>
      </c>
      <c r="W13" s="43">
        <v>1.80761260176991</v>
      </c>
      <c r="X13" s="43">
        <v>0</v>
      </c>
      <c r="Y13" s="42">
        <v>1649.05259233611</v>
      </c>
      <c r="Z13" s="38">
        <f>VLOOKUP(B13,'[1]自有品牌智能硬件收入（已加配额制摊分）'!$H$2:$I$23,2,0)/10000</f>
        <v>850.847363517243</v>
      </c>
      <c r="AA13" s="20">
        <f t="shared" si="7"/>
        <v>2.09250982538635</v>
      </c>
      <c r="AB13" s="41">
        <f t="shared" si="8"/>
        <v>0.269385984341841</v>
      </c>
      <c r="AC13" s="42">
        <v>138.591469194771</v>
      </c>
      <c r="AD13" s="43">
        <v>43.4036283185841</v>
      </c>
      <c r="AE13" s="38">
        <v>0</v>
      </c>
      <c r="AF13" s="42">
        <v>258.912417416174</v>
      </c>
      <c r="AG13" s="38">
        <v>18.3239583333333</v>
      </c>
      <c r="AH13" s="38">
        <v>3.67362831858407</v>
      </c>
      <c r="AI13" s="62">
        <v>0</v>
      </c>
      <c r="AJ13" s="63">
        <v>90.619346095661</v>
      </c>
      <c r="AK13" s="38">
        <v>54.8602654867256</v>
      </c>
      <c r="AL13" s="38">
        <v>5</v>
      </c>
      <c r="AM13" s="60" t="s">
        <v>72</v>
      </c>
      <c r="AN13" s="61">
        <v>2.46229161537013</v>
      </c>
      <c r="AO13" s="75">
        <v>15</v>
      </c>
      <c r="AP13" s="75">
        <v>15</v>
      </c>
      <c r="AQ13" s="76">
        <f>VLOOKUP(B13,[1]渠道类指标!$B$2:$F$22,5,0)</f>
        <v>17</v>
      </c>
      <c r="AR13" s="77">
        <v>1.13333333333333</v>
      </c>
      <c r="AS13" s="20">
        <v>8</v>
      </c>
      <c r="AT13" s="78">
        <v>21475.425</v>
      </c>
      <c r="AU13" s="78">
        <v>5368.85625</v>
      </c>
      <c r="AV13" s="79">
        <f>VLOOKUP(B13,[1]渠道类指标!$B$2:$F$22,4,0)</f>
        <v>6756</v>
      </c>
      <c r="AW13" s="77">
        <v>0.0739449859548763</v>
      </c>
      <c r="AX13" s="20">
        <v>0</v>
      </c>
      <c r="AY13" s="85">
        <v>0.14</v>
      </c>
      <c r="AZ13" s="85">
        <v>0.0571895424836601</v>
      </c>
      <c r="BA13" s="85">
        <v>0.1384</v>
      </c>
      <c r="BB13" s="43">
        <v>5</v>
      </c>
      <c r="BC13" s="86"/>
      <c r="BD13" s="43">
        <f t="shared" si="9"/>
        <v>0</v>
      </c>
      <c r="BE13" s="23">
        <v>0.025</v>
      </c>
      <c r="BF13" s="23">
        <v>0.025</v>
      </c>
      <c r="BG13" s="94">
        <v>2.10479242477778</v>
      </c>
      <c r="BH13" s="43">
        <v>3</v>
      </c>
      <c r="BI13" s="95">
        <f t="shared" si="10"/>
        <v>0.00342550380578913</v>
      </c>
      <c r="BJ13" s="96"/>
      <c r="BK13" s="97"/>
      <c r="BL13" s="98">
        <v>0</v>
      </c>
      <c r="BM13" s="105"/>
      <c r="BN13" s="112">
        <v>49.5970259851846</v>
      </c>
      <c r="BO13" s="113">
        <v>166.213777291992</v>
      </c>
      <c r="BP13" s="114">
        <v>0</v>
      </c>
      <c r="BQ13" s="113">
        <v>0.59</v>
      </c>
      <c r="BR13" s="115">
        <v>0.459203539823008</v>
      </c>
      <c r="BS13" s="116">
        <v>0.459203539823008</v>
      </c>
      <c r="BT13" s="117">
        <v>38.1341876741928</v>
      </c>
    </row>
    <row r="14" spans="1:72">
      <c r="A14" s="21" t="s">
        <v>78</v>
      </c>
      <c r="B14" s="22" t="s">
        <v>84</v>
      </c>
      <c r="C14" s="23">
        <v>0.048</v>
      </c>
      <c r="D14" s="18">
        <f>VLOOKUP(B14,'[2]2019年2季度虚拟核算'!C:Q,15,0)</f>
        <v>0.0917599580704324</v>
      </c>
      <c r="E14" s="19">
        <f t="shared" si="0"/>
        <v>1.91166579313401</v>
      </c>
      <c r="F14" s="20">
        <f t="shared" si="1"/>
        <v>10</v>
      </c>
      <c r="G14" s="18">
        <v>0.02</v>
      </c>
      <c r="H14" s="18">
        <f>VLOOKUP(B14,'[2]2019年2季度虚拟核算'!C:R,16,0)</f>
        <v>0.0365830856516574</v>
      </c>
      <c r="I14" s="19">
        <f t="shared" si="2"/>
        <v>1.82915428258287</v>
      </c>
      <c r="J14" s="20">
        <f t="shared" si="3"/>
        <v>10</v>
      </c>
      <c r="K14" s="36">
        <v>1264.33938377537</v>
      </c>
      <c r="L14" s="41"/>
      <c r="M14" s="38">
        <v>990.193362453731</v>
      </c>
      <c r="N14" s="41">
        <f t="shared" si="4"/>
        <v>-0.246575342465753</v>
      </c>
      <c r="O14" s="42">
        <v>1264.33938377537</v>
      </c>
      <c r="P14" s="43"/>
      <c r="Q14" s="43">
        <v>11.7475581536142</v>
      </c>
      <c r="R14" s="42">
        <v>133.348124838702</v>
      </c>
      <c r="S14" s="38">
        <f>VLOOKUP(B14,[1]自有品牌手机收入!$F$2:$G$23,2,0)/10000</f>
        <v>23.976644</v>
      </c>
      <c r="T14" s="20">
        <f t="shared" si="5"/>
        <v>0.729208692626147</v>
      </c>
      <c r="U14" s="41">
        <f t="shared" si="6"/>
        <v>-0.066770459352457</v>
      </c>
      <c r="V14" s="51">
        <v>33.3370312096754</v>
      </c>
      <c r="W14" s="43">
        <v>1.88964615929204</v>
      </c>
      <c r="X14" s="43">
        <v>0</v>
      </c>
      <c r="Y14" s="42">
        <v>1224.14465085877</v>
      </c>
      <c r="Z14" s="38">
        <f>VLOOKUP(B14,'[1]自有品牌智能硬件收入（已加配额制摊分）'!$H$2:$I$23,2,0)/10000</f>
        <v>453.747241517241</v>
      </c>
      <c r="AA14" s="20">
        <f t="shared" si="7"/>
        <v>1.5032513885204</v>
      </c>
      <c r="AB14" s="41">
        <f t="shared" si="8"/>
        <v>0.124089383470782</v>
      </c>
      <c r="AC14" s="42">
        <v>280.73954913595</v>
      </c>
      <c r="AD14" s="43">
        <v>0.0129203539823009</v>
      </c>
      <c r="AE14" s="38">
        <v>0</v>
      </c>
      <c r="AF14" s="42">
        <v>186.965808820038</v>
      </c>
      <c r="AG14" s="38">
        <v>13.978125</v>
      </c>
      <c r="AH14" s="38">
        <v>0.0129203539823009</v>
      </c>
      <c r="AI14" s="62">
        <v>0</v>
      </c>
      <c r="AJ14" s="63">
        <v>65.4380330870133</v>
      </c>
      <c r="AK14" s="38">
        <v>0.4</v>
      </c>
      <c r="AL14" s="38">
        <v>0</v>
      </c>
      <c r="AM14" s="60" t="s">
        <v>72</v>
      </c>
      <c r="AN14" s="61">
        <v>1.29021948089643</v>
      </c>
      <c r="AO14" s="75">
        <v>10</v>
      </c>
      <c r="AP14" s="75">
        <v>10</v>
      </c>
      <c r="AQ14" s="76">
        <f>VLOOKUP(B14,[1]渠道类指标!$B$2:$F$22,5,0)</f>
        <v>12</v>
      </c>
      <c r="AR14" s="77">
        <v>1</v>
      </c>
      <c r="AS14" s="20">
        <v>8</v>
      </c>
      <c r="AT14" s="78">
        <v>1690</v>
      </c>
      <c r="AU14" s="78">
        <v>422.5</v>
      </c>
      <c r="AV14" s="79">
        <f>VLOOKUP(B14,[1]渠道类指标!$B$2:$F$22,4,0)</f>
        <v>58</v>
      </c>
      <c r="AW14" s="77">
        <v>0.241420118343195</v>
      </c>
      <c r="AX14" s="20">
        <v>0</v>
      </c>
      <c r="AY14" s="85">
        <v>0.12</v>
      </c>
      <c r="AZ14" s="85">
        <v>0.0490196078431373</v>
      </c>
      <c r="BA14" s="85">
        <v>0.0343</v>
      </c>
      <c r="BB14" s="43">
        <v>3.4986</v>
      </c>
      <c r="BC14" s="86"/>
      <c r="BD14" s="43">
        <f t="shared" si="9"/>
        <v>0</v>
      </c>
      <c r="BE14" s="23">
        <v>0.025</v>
      </c>
      <c r="BF14" s="23">
        <v>0.025</v>
      </c>
      <c r="BG14" s="94">
        <v>-0.899400575442437</v>
      </c>
      <c r="BH14" s="43">
        <v>0</v>
      </c>
      <c r="BI14" s="95">
        <f t="shared" si="10"/>
        <v>0.0365830856516574</v>
      </c>
      <c r="BJ14" s="96"/>
      <c r="BK14" s="97"/>
      <c r="BL14" s="98">
        <v>0</v>
      </c>
      <c r="BM14" s="105"/>
      <c r="BN14" s="112">
        <v>44.5363776345106</v>
      </c>
      <c r="BO14" s="113">
        <v>46.6718436935455</v>
      </c>
      <c r="BP14" s="114">
        <v>1.5</v>
      </c>
      <c r="BQ14" s="113">
        <v>0.44</v>
      </c>
      <c r="BR14" s="115">
        <v>0.00027642174927796</v>
      </c>
      <c r="BS14" s="116">
        <v>0.00027642174927796</v>
      </c>
      <c r="BT14" s="117">
        <v>41.1979959354342</v>
      </c>
    </row>
    <row r="15" spans="1:72">
      <c r="A15" s="21" t="s">
        <v>78</v>
      </c>
      <c r="B15" s="22" t="s">
        <v>85</v>
      </c>
      <c r="C15" s="24">
        <v>0.048</v>
      </c>
      <c r="D15" s="25">
        <f>VLOOKUP(B15,'[2]2019年2季度虚拟核算'!C:Q,15,0)</f>
        <v>0.106460789344084</v>
      </c>
      <c r="E15" s="26">
        <f t="shared" si="0"/>
        <v>2.21793311133509</v>
      </c>
      <c r="F15" s="27">
        <f t="shared" si="1"/>
        <v>10</v>
      </c>
      <c r="G15" s="25">
        <v>0.02</v>
      </c>
      <c r="H15" s="25">
        <f>VLOOKUP(B15,'[2]2019年2季度虚拟核算'!C:R,16,0)</f>
        <v>0.0445474011848992</v>
      </c>
      <c r="I15" s="26">
        <f t="shared" si="2"/>
        <v>2.22737005924496</v>
      </c>
      <c r="J15" s="27">
        <f t="shared" si="3"/>
        <v>10</v>
      </c>
      <c r="K15" s="45">
        <v>38056.1684328942</v>
      </c>
      <c r="L15" s="41"/>
      <c r="M15" s="38">
        <v>15801.29</v>
      </c>
      <c r="N15" s="41">
        <f t="shared" si="4"/>
        <v>-0.246575342465753</v>
      </c>
      <c r="O15" s="42">
        <v>38056.1684328942</v>
      </c>
      <c r="P15" s="43"/>
      <c r="Q15" s="43">
        <v>0</v>
      </c>
      <c r="R15" s="42">
        <v>3635.82549648772</v>
      </c>
      <c r="S15" s="38">
        <f>SUM(S9:S14)</f>
        <v>604.284543000001</v>
      </c>
      <c r="T15" s="20">
        <f t="shared" si="5"/>
        <v>0.674044873129209</v>
      </c>
      <c r="U15" s="41">
        <f t="shared" si="6"/>
        <v>-0.0803724970366335</v>
      </c>
      <c r="V15" s="51">
        <v>908.956374121929</v>
      </c>
      <c r="W15" s="43">
        <v>160.880370230088</v>
      </c>
      <c r="X15" s="43">
        <v>0</v>
      </c>
      <c r="Y15" s="42">
        <f>SUM(Y9:Y14)</f>
        <v>19042.6318346089</v>
      </c>
      <c r="Z15" s="38">
        <f>SUM(Z9:Z14)</f>
        <v>9471.75284310345</v>
      </c>
      <c r="AA15" s="20">
        <f t="shared" si="7"/>
        <v>2.01722220947861</v>
      </c>
      <c r="AB15" s="41">
        <f t="shared" si="8"/>
        <v>0.250821914665958</v>
      </c>
      <c r="AC15" s="42">
        <v>2395.4739860439</v>
      </c>
      <c r="AD15" s="43">
        <v>1427.12424778761</v>
      </c>
      <c r="AE15" s="38">
        <v>0</v>
      </c>
      <c r="AF15" s="42">
        <f>SUM(AF9:AF14)</f>
        <v>3351.45227770367</v>
      </c>
      <c r="AG15" s="63">
        <v>250.111458333333</v>
      </c>
      <c r="AH15" s="38">
        <v>36.5742477876106</v>
      </c>
      <c r="AI15" s="62">
        <v>0</v>
      </c>
      <c r="AJ15" s="63">
        <f>SUM(AJ9:AJ14)</f>
        <v>1173.00829719628</v>
      </c>
      <c r="AK15" s="38">
        <v>178.626902654867</v>
      </c>
      <c r="AL15" s="38">
        <v>3.57094600633619</v>
      </c>
      <c r="AM15" s="60" t="s">
        <v>72</v>
      </c>
      <c r="AN15" s="64">
        <v>2.22099687437012</v>
      </c>
      <c r="AO15" s="75">
        <f>SUM(AO9:AO14)</f>
        <v>165</v>
      </c>
      <c r="AP15" s="75">
        <f>SUM(AP9:AP14)</f>
        <v>165</v>
      </c>
      <c r="AQ15" s="75">
        <f>SUM(AQ9:AQ14)</f>
        <v>201</v>
      </c>
      <c r="AR15" s="77">
        <v>1.03636363636364</v>
      </c>
      <c r="AS15" s="20">
        <v>8</v>
      </c>
      <c r="AT15" s="78">
        <f>SUM(AT9:AT14)</f>
        <v>256149.4486</v>
      </c>
      <c r="AU15" s="78">
        <v>64037.36215</v>
      </c>
      <c r="AV15" s="78">
        <f>SUM(AV9:AV14)</f>
        <v>33375</v>
      </c>
      <c r="AW15" s="77">
        <v>0.204739851233863</v>
      </c>
      <c r="AX15" s="20">
        <v>0</v>
      </c>
      <c r="AY15" s="85">
        <f>SUM(AY9:AY14)</f>
        <v>3.18</v>
      </c>
      <c r="AZ15" s="85">
        <v>1.29901960784314</v>
      </c>
      <c r="BA15" s="85">
        <v>1.9571</v>
      </c>
      <c r="BB15" s="43">
        <v>5</v>
      </c>
      <c r="BC15" s="86"/>
      <c r="BD15" s="43">
        <f t="shared" si="9"/>
        <v>0</v>
      </c>
      <c r="BE15" s="24">
        <v>0.025</v>
      </c>
      <c r="BF15" s="24">
        <v>0.025</v>
      </c>
      <c r="BG15" s="94">
        <v>0.857238294420228</v>
      </c>
      <c r="BH15" s="43">
        <v>3</v>
      </c>
      <c r="BI15" s="95">
        <f t="shared" si="10"/>
        <v>0.0445474011848992</v>
      </c>
      <c r="BJ15" s="99">
        <v>1.33</v>
      </c>
      <c r="BK15" s="97"/>
      <c r="BL15" s="98">
        <v>0.223333333333333</v>
      </c>
      <c r="BM15" s="105"/>
      <c r="BN15" s="112">
        <v>43.348609547373</v>
      </c>
      <c r="BO15" s="113">
        <v>1272.5389237707</v>
      </c>
      <c r="BP15" s="114">
        <v>1.5</v>
      </c>
      <c r="BQ15" s="113">
        <f>SUM(BQ9:BQ14)</f>
        <v>8.63</v>
      </c>
      <c r="BR15" s="115">
        <v>0.06099103231203</v>
      </c>
      <c r="BS15" s="116">
        <v>0.06099103231203</v>
      </c>
      <c r="BT15" s="117">
        <v>40.4940452981578</v>
      </c>
    </row>
    <row r="16" spans="1:72">
      <c r="A16" s="21" t="s">
        <v>86</v>
      </c>
      <c r="B16" s="22" t="s">
        <v>87</v>
      </c>
      <c r="C16" s="23">
        <v>0.048</v>
      </c>
      <c r="D16" s="18">
        <f>VLOOKUP(B16,'[2]2019年2季度虚拟核算'!C:Q,15,0)</f>
        <v>0.0615808076402475</v>
      </c>
      <c r="E16" s="19">
        <f t="shared" si="0"/>
        <v>1.28293349250516</v>
      </c>
      <c r="F16" s="20">
        <f t="shared" si="1"/>
        <v>10</v>
      </c>
      <c r="G16" s="18">
        <v>0.02</v>
      </c>
      <c r="H16" s="18">
        <f>VLOOKUP(B16,'[2]2019年2季度虚拟核算'!C:R,16,0)</f>
        <v>0.0363786796994049</v>
      </c>
      <c r="I16" s="19">
        <f t="shared" si="2"/>
        <v>1.81893398497025</v>
      </c>
      <c r="J16" s="20">
        <f t="shared" si="3"/>
        <v>10</v>
      </c>
      <c r="K16" s="36">
        <v>19365.7434208176</v>
      </c>
      <c r="L16" s="41"/>
      <c r="M16" s="38">
        <v>6910.18976907419</v>
      </c>
      <c r="N16" s="41">
        <f t="shared" si="4"/>
        <v>-0.246575342465753</v>
      </c>
      <c r="O16" s="42">
        <v>19365.7434208176</v>
      </c>
      <c r="P16" s="43"/>
      <c r="Q16" s="43">
        <v>0</v>
      </c>
      <c r="R16" s="42">
        <v>1215.43868639392</v>
      </c>
      <c r="S16" s="38">
        <f>VLOOKUP(B16,[1]自有品牌手机收入!$F$2:$G$23,2,0)/10000</f>
        <v>22.74087</v>
      </c>
      <c r="T16" s="20">
        <f t="shared" si="5"/>
        <v>0.0758794850773546</v>
      </c>
      <c r="U16" s="41">
        <f t="shared" si="6"/>
        <v>-0.22786533244668</v>
      </c>
      <c r="V16" s="51">
        <v>303.859671598479</v>
      </c>
      <c r="W16" s="43">
        <v>63.4947927079646</v>
      </c>
      <c r="X16" s="43">
        <v>0</v>
      </c>
      <c r="Y16" s="42">
        <v>5797.19723227909</v>
      </c>
      <c r="Z16" s="38">
        <f>VLOOKUP(B16,'[1]自有品牌智能硬件收入（已加配额制摊分）'!$H$2:$I$23,2,0)/10000</f>
        <v>2679.78640782759</v>
      </c>
      <c r="AA16" s="20">
        <f t="shared" si="7"/>
        <v>1.87470293290243</v>
      </c>
      <c r="AB16" s="41">
        <f t="shared" si="8"/>
        <v>0.215680175236215</v>
      </c>
      <c r="AC16" s="42">
        <v>798.531960057107</v>
      </c>
      <c r="AD16" s="43">
        <v>2980.51831858407</v>
      </c>
      <c r="AE16" s="38">
        <v>15</v>
      </c>
      <c r="AF16" s="42">
        <v>1112.56055112364</v>
      </c>
      <c r="AG16" s="38">
        <v>86.625</v>
      </c>
      <c r="AH16" s="38">
        <v>0.768318584070797</v>
      </c>
      <c r="AI16" s="62">
        <v>0</v>
      </c>
      <c r="AJ16" s="63">
        <v>389.396192893272</v>
      </c>
      <c r="AK16" s="38">
        <v>256.504690265487</v>
      </c>
      <c r="AL16" s="38">
        <v>5</v>
      </c>
      <c r="AM16" s="60" t="s">
        <v>72</v>
      </c>
      <c r="AN16" s="61">
        <v>3.22760528640235</v>
      </c>
      <c r="AO16" s="75">
        <v>49</v>
      </c>
      <c r="AP16" s="75">
        <v>49</v>
      </c>
      <c r="AQ16" s="76">
        <f>VLOOKUP(B16,[1]渠道类指标!$B$2:$F$22,5,0)</f>
        <v>131</v>
      </c>
      <c r="AR16" s="77">
        <v>1.08163265306122</v>
      </c>
      <c r="AS16" s="20">
        <v>8</v>
      </c>
      <c r="AT16" s="78">
        <v>162093.7175</v>
      </c>
      <c r="AU16" s="78">
        <v>40523.429375</v>
      </c>
      <c r="AV16" s="79">
        <f>VLOOKUP(B16,[1]渠道类指标!$B$2:$F$22,4,0)</f>
        <v>8192</v>
      </c>
      <c r="AW16" s="77">
        <v>0.11430424501184</v>
      </c>
      <c r="AX16" s="20">
        <v>0</v>
      </c>
      <c r="AY16" s="85">
        <v>0.86</v>
      </c>
      <c r="AZ16" s="85">
        <v>0.351307189542484</v>
      </c>
      <c r="BA16" s="85">
        <v>0.954</v>
      </c>
      <c r="BB16" s="43">
        <v>5</v>
      </c>
      <c r="BC16" s="86"/>
      <c r="BD16" s="43">
        <f t="shared" si="9"/>
        <v>0</v>
      </c>
      <c r="BE16" s="23">
        <v>0.025</v>
      </c>
      <c r="BF16" s="23">
        <v>0.025</v>
      </c>
      <c r="BG16" s="94">
        <v>1.8732346577471</v>
      </c>
      <c r="BH16" s="43">
        <v>3</v>
      </c>
      <c r="BI16" s="95">
        <f t="shared" si="10"/>
        <v>0.0363786796994049</v>
      </c>
      <c r="BJ16" s="96"/>
      <c r="BK16" s="97"/>
      <c r="BL16" s="98">
        <v>0.33</v>
      </c>
      <c r="BM16" s="105"/>
      <c r="BN16" s="112">
        <v>59.5576052864023</v>
      </c>
      <c r="BO16" s="113">
        <v>425.403540237871</v>
      </c>
      <c r="BP16" s="114">
        <v>1.5</v>
      </c>
      <c r="BQ16" s="113">
        <v>3.05</v>
      </c>
      <c r="BR16" s="115">
        <v>0.00276234343665998</v>
      </c>
      <c r="BS16" s="116">
        <v>0.00276234343665998</v>
      </c>
      <c r="BT16" s="117">
        <v>55.1154626739321</v>
      </c>
    </row>
    <row r="17" spans="1:72">
      <c r="A17" s="21" t="s">
        <v>86</v>
      </c>
      <c r="B17" s="22" t="s">
        <v>88</v>
      </c>
      <c r="C17" s="23">
        <v>0.048</v>
      </c>
      <c r="D17" s="18">
        <f>VLOOKUP(B17,'[2]2019年2季度虚拟核算'!C:Q,15,0)</f>
        <v>0.095489951436833</v>
      </c>
      <c r="E17" s="19">
        <f t="shared" si="0"/>
        <v>1.98937398826735</v>
      </c>
      <c r="F17" s="20">
        <f t="shared" si="1"/>
        <v>10</v>
      </c>
      <c r="G17" s="18">
        <v>0.02</v>
      </c>
      <c r="H17" s="18">
        <f>VLOOKUP(B17,'[2]2019年2季度虚拟核算'!C:R,16,0)</f>
        <v>0.0553652409660856</v>
      </c>
      <c r="I17" s="19">
        <f t="shared" si="2"/>
        <v>2.76826204830428</v>
      </c>
      <c r="J17" s="20">
        <f t="shared" si="3"/>
        <v>10</v>
      </c>
      <c r="K17" s="36">
        <v>343.810734382059</v>
      </c>
      <c r="L17" s="41"/>
      <c r="M17" s="38">
        <v>3043.716962706</v>
      </c>
      <c r="N17" s="41">
        <f t="shared" si="4"/>
        <v>-0.246575342465753</v>
      </c>
      <c r="O17" s="42">
        <v>343.810734382059</v>
      </c>
      <c r="P17" s="43"/>
      <c r="Q17" s="43">
        <v>20.2949143590881</v>
      </c>
      <c r="R17" s="42">
        <v>843.282107460534</v>
      </c>
      <c r="S17" s="38">
        <f>VLOOKUP(B17,[1]自有品牌手机收入!$F$2:$G$23,2,0)/10000</f>
        <v>26.376398</v>
      </c>
      <c r="T17" s="20">
        <f t="shared" si="5"/>
        <v>0.126850725869872</v>
      </c>
      <c r="U17" s="41">
        <f t="shared" si="6"/>
        <v>-0.21529708129236</v>
      </c>
      <c r="V17" s="51">
        <v>210.820526865134</v>
      </c>
      <c r="W17" s="43">
        <v>14.8261930265487</v>
      </c>
      <c r="X17" s="43">
        <v>0</v>
      </c>
      <c r="Y17" s="42">
        <v>3459.43539385059</v>
      </c>
      <c r="Z17" s="38">
        <f>VLOOKUP(B17,'[1]自有品牌智能硬件收入（已加配额制摊分）'!$H$2:$I$23,2,0)/10000</f>
        <v>364.670769931035</v>
      </c>
      <c r="AA17" s="20">
        <f t="shared" si="7"/>
        <v>0.42750980971388</v>
      </c>
      <c r="AB17" s="41">
        <f t="shared" si="8"/>
        <v>-0.141161964728084</v>
      </c>
      <c r="AC17" s="42">
        <v>117.62080339092</v>
      </c>
      <c r="AD17" s="43">
        <v>458.687743362832</v>
      </c>
      <c r="AE17" s="38">
        <v>12.5691993801234</v>
      </c>
      <c r="AF17" s="42">
        <v>605.292324651226</v>
      </c>
      <c r="AG17" s="38">
        <v>41.7885416666667</v>
      </c>
      <c r="AH17" s="38">
        <v>1.79274336283186</v>
      </c>
      <c r="AI17" s="62">
        <v>0</v>
      </c>
      <c r="AJ17" s="63">
        <v>211.852313627929</v>
      </c>
      <c r="AK17" s="38">
        <v>8.64991150442477</v>
      </c>
      <c r="AL17" s="38">
        <v>0</v>
      </c>
      <c r="AM17" s="60" t="s">
        <v>72</v>
      </c>
      <c r="AN17" s="61">
        <v>1.80300713557594</v>
      </c>
      <c r="AO17" s="75">
        <v>23</v>
      </c>
      <c r="AP17" s="75">
        <v>23</v>
      </c>
      <c r="AQ17" s="76">
        <f>VLOOKUP(B17,[1]渠道类指标!$B$2:$F$22,5,0)</f>
        <v>39</v>
      </c>
      <c r="AR17" s="77">
        <v>1.60869565217391</v>
      </c>
      <c r="AS17" s="20">
        <v>8</v>
      </c>
      <c r="AT17" s="78">
        <v>38377</v>
      </c>
      <c r="AU17" s="78">
        <v>9594.25</v>
      </c>
      <c r="AV17" s="79">
        <f>VLOOKUP(B17,[1]渠道类指标!$B$2:$F$22,4,0)</f>
        <v>9234</v>
      </c>
      <c r="AW17" s="77">
        <v>0.700211063918493</v>
      </c>
      <c r="AX17" s="20">
        <v>0</v>
      </c>
      <c r="AY17" s="85">
        <v>0.54</v>
      </c>
      <c r="AZ17" s="85">
        <v>0.220588235294118</v>
      </c>
      <c r="BA17" s="85">
        <v>0.0182</v>
      </c>
      <c r="BB17" s="43">
        <v>0</v>
      </c>
      <c r="BC17" s="86"/>
      <c r="BD17" s="43">
        <f t="shared" si="9"/>
        <v>0</v>
      </c>
      <c r="BE17" s="23">
        <v>0.025</v>
      </c>
      <c r="BF17" s="23">
        <v>0.025</v>
      </c>
      <c r="BG17" s="94">
        <v>1.00740063702256</v>
      </c>
      <c r="BH17" s="43">
        <v>3</v>
      </c>
      <c r="BI17" s="95">
        <f t="shared" si="10"/>
        <v>0.0553652409660856</v>
      </c>
      <c r="BJ17" s="96"/>
      <c r="BK17" s="97"/>
      <c r="BL17" s="98">
        <v>0.17</v>
      </c>
      <c r="BM17" s="105"/>
      <c r="BN17" s="112">
        <v>65.8371208747874</v>
      </c>
      <c r="BO17" s="113">
        <v>295.148737611187</v>
      </c>
      <c r="BP17" s="114">
        <v>1.5</v>
      </c>
      <c r="BQ17" s="113">
        <v>1.53</v>
      </c>
      <c r="BR17" s="115">
        <v>0.087111208614821</v>
      </c>
      <c r="BS17" s="116">
        <v>0.087111208614821</v>
      </c>
      <c r="BT17" s="117">
        <v>61.7596094848468</v>
      </c>
    </row>
    <row r="18" spans="1:72">
      <c r="A18" s="21" t="s">
        <v>86</v>
      </c>
      <c r="B18" s="22" t="s">
        <v>89</v>
      </c>
      <c r="C18" s="23">
        <v>0.048</v>
      </c>
      <c r="D18" s="18">
        <f>VLOOKUP(B18,'[2]2019年2季度虚拟核算'!C:Q,15,0)</f>
        <v>0.0854610080476113</v>
      </c>
      <c r="E18" s="19">
        <f t="shared" si="0"/>
        <v>1.78043766765857</v>
      </c>
      <c r="F18" s="20">
        <f t="shared" si="1"/>
        <v>10</v>
      </c>
      <c r="G18" s="18">
        <v>0.02</v>
      </c>
      <c r="H18" s="18">
        <f>VLOOKUP(B18,'[2]2019年2季度虚拟核算'!C:R,16,0)</f>
        <v>0.0567154860475977</v>
      </c>
      <c r="I18" s="19">
        <f t="shared" si="2"/>
        <v>2.83577430237989</v>
      </c>
      <c r="J18" s="20">
        <f t="shared" si="3"/>
        <v>10</v>
      </c>
      <c r="K18" s="36">
        <v>1882.94125972264</v>
      </c>
      <c r="L18" s="41"/>
      <c r="M18" s="38">
        <v>5388.85794590968</v>
      </c>
      <c r="N18" s="41">
        <f t="shared" si="4"/>
        <v>-0.246575342465753</v>
      </c>
      <c r="O18" s="42">
        <v>1882.94125972264</v>
      </c>
      <c r="P18" s="43"/>
      <c r="Q18" s="43">
        <v>22.5</v>
      </c>
      <c r="R18" s="42">
        <v>911.568533514372</v>
      </c>
      <c r="S18" s="38">
        <f>VLOOKUP(B18,[1]自有品牌手机收入!$F$2:$G$23,2,0)/10000</f>
        <v>106.890243</v>
      </c>
      <c r="T18" s="20">
        <f t="shared" si="5"/>
        <v>0.475553184314144</v>
      </c>
      <c r="U18" s="41">
        <f t="shared" si="6"/>
        <v>-0.129315653182814</v>
      </c>
      <c r="V18" s="51">
        <v>227.892133378593</v>
      </c>
      <c r="W18" s="43">
        <v>62.5267819469027</v>
      </c>
      <c r="X18" s="43">
        <v>0</v>
      </c>
      <c r="Y18" s="42">
        <v>3570.55193650046</v>
      </c>
      <c r="Z18" s="38">
        <f>VLOOKUP(B18,'[1]自有品牌智能硬件收入（已加配额制摊分）'!$H$2:$I$23,2,0)/10000</f>
        <v>1869.83689458621</v>
      </c>
      <c r="AA18" s="20">
        <f t="shared" si="7"/>
        <v>2.12382498299528</v>
      </c>
      <c r="AB18" s="41">
        <f t="shared" si="8"/>
        <v>0.27710753005363</v>
      </c>
      <c r="AC18" s="42">
        <v>272.494265348551</v>
      </c>
      <c r="AD18" s="43">
        <v>1191.96433628319</v>
      </c>
      <c r="AE18" s="38">
        <v>14.5149586743005</v>
      </c>
      <c r="AF18" s="42">
        <v>625.745053767938</v>
      </c>
      <c r="AG18" s="38">
        <v>44.821875</v>
      </c>
      <c r="AH18" s="38">
        <v>0.0643362831858407</v>
      </c>
      <c r="AI18" s="62">
        <v>0</v>
      </c>
      <c r="AJ18" s="63">
        <v>219.010768818778</v>
      </c>
      <c r="AK18" s="38">
        <v>27.9936283185841</v>
      </c>
      <c r="AL18" s="38">
        <v>3.12276408768978</v>
      </c>
      <c r="AM18" s="60" t="s">
        <v>72</v>
      </c>
      <c r="AN18" s="61">
        <v>2.18396417390989</v>
      </c>
      <c r="AO18" s="75">
        <v>57</v>
      </c>
      <c r="AP18" s="75">
        <v>57</v>
      </c>
      <c r="AQ18" s="76">
        <f>VLOOKUP(B18,[1]渠道类指标!$B$2:$F$22,5,0)</f>
        <v>113</v>
      </c>
      <c r="AR18" s="77">
        <v>1.36842105263158</v>
      </c>
      <c r="AS18" s="20">
        <v>8</v>
      </c>
      <c r="AT18" s="78">
        <v>19186.2</v>
      </c>
      <c r="AU18" s="78">
        <v>4796.55</v>
      </c>
      <c r="AV18" s="79">
        <f>VLOOKUP(B18,[1]渠道类指标!$B$2:$F$22,4,0)</f>
        <v>7441</v>
      </c>
      <c r="AW18" s="77">
        <v>0.996549603360749</v>
      </c>
      <c r="AX18" s="20">
        <v>7.97239682688599</v>
      </c>
      <c r="AY18" s="85">
        <v>0.52</v>
      </c>
      <c r="AZ18" s="85">
        <v>0.212418300653595</v>
      </c>
      <c r="BA18" s="85">
        <v>0.3721</v>
      </c>
      <c r="BB18" s="43">
        <v>5</v>
      </c>
      <c r="BC18" s="86"/>
      <c r="BD18" s="43">
        <f t="shared" si="9"/>
        <v>0</v>
      </c>
      <c r="BE18" s="23">
        <v>0.025</v>
      </c>
      <c r="BF18" s="23">
        <v>0.025</v>
      </c>
      <c r="BG18" s="94">
        <v>-0.226431559643306</v>
      </c>
      <c r="BH18" s="43">
        <v>0</v>
      </c>
      <c r="BI18" s="95">
        <f t="shared" si="10"/>
        <v>0.0567154860475977</v>
      </c>
      <c r="BJ18" s="99">
        <v>1</v>
      </c>
      <c r="BK18" s="97"/>
      <c r="BL18" s="98">
        <v>-1.5</v>
      </c>
      <c r="BM18" s="105"/>
      <c r="BN18" s="112">
        <v>82.7940837627861</v>
      </c>
      <c r="BO18" s="113">
        <v>319.04898673003</v>
      </c>
      <c r="BP18" s="114">
        <v>1.5</v>
      </c>
      <c r="BQ18" s="113">
        <v>1.59</v>
      </c>
      <c r="BR18" s="115">
        <v>0.000411261952761358</v>
      </c>
      <c r="BS18" s="116">
        <v>0.000411261952761358</v>
      </c>
      <c r="BT18" s="117">
        <v>76.5896349890619</v>
      </c>
    </row>
    <row r="19" spans="1:72">
      <c r="A19" s="21" t="s">
        <v>86</v>
      </c>
      <c r="B19" s="22" t="s">
        <v>90</v>
      </c>
      <c r="C19" s="23">
        <v>0.048</v>
      </c>
      <c r="D19" s="18">
        <f>VLOOKUP(B19,'[2]2019年2季度虚拟核算'!C:Q,15,0)</f>
        <v>0.0928294546383921</v>
      </c>
      <c r="E19" s="19">
        <f t="shared" si="0"/>
        <v>1.93394697163317</v>
      </c>
      <c r="F19" s="20">
        <f t="shared" si="1"/>
        <v>10</v>
      </c>
      <c r="G19" s="18">
        <v>0.02</v>
      </c>
      <c r="H19" s="18">
        <f>VLOOKUP(B19,'[2]2019年2季度虚拟核算'!C:R,16,0)</f>
        <v>0.0511692908618208</v>
      </c>
      <c r="I19" s="19">
        <f t="shared" si="2"/>
        <v>2.55846454309104</v>
      </c>
      <c r="J19" s="20">
        <f t="shared" si="3"/>
        <v>10</v>
      </c>
      <c r="K19" s="36">
        <v>2273.69351443469</v>
      </c>
      <c r="L19" s="41"/>
      <c r="M19" s="38">
        <v>3433.6068482505</v>
      </c>
      <c r="N19" s="41">
        <f t="shared" si="4"/>
        <v>-0.246575342465753</v>
      </c>
      <c r="O19" s="42">
        <v>2273.69351443469</v>
      </c>
      <c r="P19" s="43"/>
      <c r="Q19" s="43">
        <v>22.5</v>
      </c>
      <c r="R19" s="42">
        <v>391.499870645405</v>
      </c>
      <c r="S19" s="38">
        <f>VLOOKUP(B19,[1]自有品牌手机收入!$F$2:$G$23,2,0)/10000</f>
        <v>3.937701</v>
      </c>
      <c r="T19" s="20">
        <f t="shared" si="5"/>
        <v>0.0407907291012386</v>
      </c>
      <c r="U19" s="41">
        <f t="shared" si="6"/>
        <v>-0.236517354468188</v>
      </c>
      <c r="V19" s="51">
        <v>97.8749676613512</v>
      </c>
      <c r="W19" s="43">
        <v>1.36398240707965</v>
      </c>
      <c r="X19" s="43">
        <v>0</v>
      </c>
      <c r="Y19" s="42">
        <v>1974.68234583664</v>
      </c>
      <c r="Z19" s="38">
        <f>VLOOKUP(B19,'[1]自有品牌智能硬件收入（已加配额制摊分）'!$H$2:$I$23,2,0)/10000</f>
        <v>807.917327965517</v>
      </c>
      <c r="AA19" s="20">
        <f t="shared" si="7"/>
        <v>1.65928135974292</v>
      </c>
      <c r="AB19" s="41">
        <f t="shared" si="8"/>
        <v>0.162562527059897</v>
      </c>
      <c r="AC19" s="42">
        <v>376.866562674399</v>
      </c>
      <c r="AD19" s="43">
        <v>496.318008849558</v>
      </c>
      <c r="AE19" s="38">
        <v>12.0402204799569</v>
      </c>
      <c r="AF19" s="42">
        <v>332.897589494732</v>
      </c>
      <c r="AG19" s="38">
        <v>23.0489583333333</v>
      </c>
      <c r="AH19" s="38">
        <v>-0.306991150442478</v>
      </c>
      <c r="AI19" s="62">
        <v>0</v>
      </c>
      <c r="AJ19" s="63">
        <v>116.514156323156</v>
      </c>
      <c r="AK19" s="38">
        <v>-5.54929203539823</v>
      </c>
      <c r="AL19" s="38">
        <v>0</v>
      </c>
      <c r="AM19" s="60" t="s">
        <v>72</v>
      </c>
      <c r="AN19" s="61">
        <v>3.99135730039221</v>
      </c>
      <c r="AO19" s="75">
        <v>24</v>
      </c>
      <c r="AP19" s="75">
        <v>24</v>
      </c>
      <c r="AQ19" s="76">
        <f>VLOOKUP(B19,[1]渠道类指标!$B$2:$F$22,5,0)</f>
        <v>28</v>
      </c>
      <c r="AR19" s="77">
        <v>1.125</v>
      </c>
      <c r="AS19" s="20">
        <v>8</v>
      </c>
      <c r="AT19" s="78">
        <v>22816.8</v>
      </c>
      <c r="AU19" s="78">
        <v>5704.2</v>
      </c>
      <c r="AV19" s="79">
        <f>VLOOKUP(B19,[1]渠道类指标!$B$2:$F$22,4,0)</f>
        <v>8383</v>
      </c>
      <c r="AW19" s="77">
        <v>0.748220609375548</v>
      </c>
      <c r="AX19" s="20">
        <v>0</v>
      </c>
      <c r="AY19" s="85">
        <v>0.3</v>
      </c>
      <c r="AZ19" s="85">
        <v>0.122549019607843</v>
      </c>
      <c r="BA19" s="85">
        <v>0.2495</v>
      </c>
      <c r="BB19" s="43">
        <v>5</v>
      </c>
      <c r="BC19" s="86"/>
      <c r="BD19" s="43">
        <f t="shared" si="9"/>
        <v>0</v>
      </c>
      <c r="BE19" s="23">
        <v>0.025</v>
      </c>
      <c r="BF19" s="23">
        <v>0.025</v>
      </c>
      <c r="BG19" s="94">
        <v>-0.512593189207748</v>
      </c>
      <c r="BH19" s="43">
        <v>0</v>
      </c>
      <c r="BI19" s="95">
        <f t="shared" si="10"/>
        <v>0.0511692908618208</v>
      </c>
      <c r="BJ19" s="96"/>
      <c r="BK19" s="97"/>
      <c r="BL19" s="98">
        <v>1.83</v>
      </c>
      <c r="BM19" s="105"/>
      <c r="BN19" s="112">
        <v>73.3615777803491</v>
      </c>
      <c r="BO19" s="113">
        <v>137.024954725892</v>
      </c>
      <c r="BP19" s="114">
        <v>1.5</v>
      </c>
      <c r="BQ19" s="113">
        <v>0.84</v>
      </c>
      <c r="BR19" s="115">
        <v>-0.00368871581087055</v>
      </c>
      <c r="BS19" s="116">
        <v>-0.00368871581087055</v>
      </c>
      <c r="BT19" s="117">
        <v>67.8188679450426</v>
      </c>
    </row>
    <row r="20" spans="1:72">
      <c r="A20" s="21" t="s">
        <v>86</v>
      </c>
      <c r="B20" s="22" t="s">
        <v>91</v>
      </c>
      <c r="C20" s="23">
        <v>0.048</v>
      </c>
      <c r="D20" s="18">
        <f>VLOOKUP(B20,'[2]2019年2季度虚拟核算'!C:Q,15,0)</f>
        <v>0.0770103843177669</v>
      </c>
      <c r="E20" s="19">
        <f t="shared" si="0"/>
        <v>1.60438300662014</v>
      </c>
      <c r="F20" s="20">
        <f t="shared" si="1"/>
        <v>10</v>
      </c>
      <c r="G20" s="18">
        <v>0.02</v>
      </c>
      <c r="H20" s="18">
        <f>VLOOKUP(B20,'[2]2019年2季度虚拟核算'!C:R,16,0)</f>
        <v>0.0282229067497665</v>
      </c>
      <c r="I20" s="19">
        <f t="shared" si="2"/>
        <v>1.41114533748832</v>
      </c>
      <c r="J20" s="20">
        <f t="shared" si="3"/>
        <v>10</v>
      </c>
      <c r="K20" s="36">
        <v>1120.60365939767</v>
      </c>
      <c r="L20" s="41"/>
      <c r="M20" s="38">
        <v>858.620951658187</v>
      </c>
      <c r="N20" s="41">
        <f t="shared" si="4"/>
        <v>-0.246575342465753</v>
      </c>
      <c r="O20" s="42">
        <v>1120.60365939767</v>
      </c>
      <c r="P20" s="43"/>
      <c r="Q20" s="43">
        <v>11.493193125744</v>
      </c>
      <c r="R20" s="42">
        <v>375.473773361213</v>
      </c>
      <c r="S20" s="38">
        <f>VLOOKUP(B20,[1]自有品牌手机收入!$F$2:$G$23,2,0)/10000</f>
        <v>9.006724</v>
      </c>
      <c r="T20" s="20">
        <f t="shared" si="5"/>
        <v>0.0972831450478318</v>
      </c>
      <c r="U20" s="41">
        <f t="shared" si="6"/>
        <v>-0.222587717659439</v>
      </c>
      <c r="V20" s="51">
        <v>93.8684433403031</v>
      </c>
      <c r="W20" s="43">
        <v>12.5704406017699</v>
      </c>
      <c r="X20" s="43">
        <v>0</v>
      </c>
      <c r="Y20" s="42">
        <v>1451.7612451253</v>
      </c>
      <c r="Z20" s="38">
        <f>VLOOKUP(B20,'[1]自有品牌智能硬件收入（已加配额制摊分）'!$H$2:$I$23,2,0)/10000</f>
        <v>197.646219172414</v>
      </c>
      <c r="AA20" s="20">
        <f t="shared" si="7"/>
        <v>0.552132952226627</v>
      </c>
      <c r="AB20" s="41">
        <f t="shared" si="8"/>
        <v>-0.110432970683845</v>
      </c>
      <c r="AC20" s="42">
        <v>362.940311281324</v>
      </c>
      <c r="AD20" s="43">
        <v>0.368053097345133</v>
      </c>
      <c r="AE20" s="38">
        <v>0</v>
      </c>
      <c r="AF20" s="42">
        <v>230.904876603734</v>
      </c>
      <c r="AG20" s="38">
        <v>16.6614583333333</v>
      </c>
      <c r="AH20" s="38">
        <v>0.368053097345133</v>
      </c>
      <c r="AI20" s="62">
        <v>0</v>
      </c>
      <c r="AJ20" s="63">
        <v>80.8167068113068</v>
      </c>
      <c r="AK20" s="38">
        <v>1.10477876106195</v>
      </c>
      <c r="AL20" s="38">
        <v>0</v>
      </c>
      <c r="AM20" s="60" t="s">
        <v>72</v>
      </c>
      <c r="AN20" s="61">
        <v>2.22325446963128</v>
      </c>
      <c r="AO20" s="75">
        <v>20</v>
      </c>
      <c r="AP20" s="75">
        <v>20</v>
      </c>
      <c r="AQ20" s="76">
        <f>VLOOKUP(B20,[1]渠道类指标!$B$2:$F$22,5,0)</f>
        <v>46</v>
      </c>
      <c r="AR20" s="77">
        <v>1.95</v>
      </c>
      <c r="AS20" s="20">
        <v>8</v>
      </c>
      <c r="AT20" s="78">
        <v>12481.6504</v>
      </c>
      <c r="AU20" s="78">
        <v>3120.4126</v>
      </c>
      <c r="AV20" s="79">
        <f>VLOOKUP(B20,[1]渠道类指标!$B$2:$F$22,4,0)</f>
        <v>1779</v>
      </c>
      <c r="AW20" s="77">
        <v>0.870077245554002</v>
      </c>
      <c r="AX20" s="20">
        <v>6.96061796443201</v>
      </c>
      <c r="AY20" s="85">
        <v>0.2</v>
      </c>
      <c r="AZ20" s="85">
        <v>0.0816993464052288</v>
      </c>
      <c r="BA20" s="85">
        <v>0.0664</v>
      </c>
      <c r="BB20" s="43">
        <v>4.06368</v>
      </c>
      <c r="BC20" s="86"/>
      <c r="BD20" s="43">
        <f t="shared" si="9"/>
        <v>0</v>
      </c>
      <c r="BE20" s="23">
        <v>0.025</v>
      </c>
      <c r="BF20" s="23">
        <v>0.025</v>
      </c>
      <c r="BG20" s="94">
        <v>1.48312876930183</v>
      </c>
      <c r="BH20" s="43">
        <v>3</v>
      </c>
      <c r="BI20" s="95">
        <f t="shared" si="10"/>
        <v>0.0282229067497665</v>
      </c>
      <c r="BJ20" s="96"/>
      <c r="BK20" s="97"/>
      <c r="BL20" s="98">
        <v>1.17</v>
      </c>
      <c r="BM20" s="105"/>
      <c r="BN20" s="112">
        <v>56.9107455598073</v>
      </c>
      <c r="BO20" s="113">
        <v>131.415820676424</v>
      </c>
      <c r="BP20" s="114">
        <v>1.41114533748832</v>
      </c>
      <c r="BQ20" s="113">
        <v>0.55</v>
      </c>
      <c r="BR20" s="115">
        <v>0.00637583931112491</v>
      </c>
      <c r="BS20" s="116">
        <v>0.00637583931112491</v>
      </c>
      <c r="BT20" s="117">
        <v>51.9383499446359</v>
      </c>
    </row>
    <row r="21" spans="1:72">
      <c r="A21" s="21" t="s">
        <v>86</v>
      </c>
      <c r="B21" s="22" t="s">
        <v>92</v>
      </c>
      <c r="C21" s="24">
        <v>0.048</v>
      </c>
      <c r="D21" s="25">
        <f>VLOOKUP(B21,'[2]2019年2季度虚拟核算'!C:Q,15,0)</f>
        <v>0.0784688799256063</v>
      </c>
      <c r="E21" s="26">
        <f t="shared" si="0"/>
        <v>1.63476833178347</v>
      </c>
      <c r="F21" s="27">
        <f t="shared" si="1"/>
        <v>10</v>
      </c>
      <c r="G21" s="25">
        <v>0.02</v>
      </c>
      <c r="H21" s="25">
        <f>VLOOKUP(B21,'[2]2019年2季度虚拟核算'!C:R,16,0)</f>
        <v>0.0467559171039182</v>
      </c>
      <c r="I21" s="26">
        <f t="shared" si="2"/>
        <v>2.33779585519591</v>
      </c>
      <c r="J21" s="27">
        <f t="shared" si="3"/>
        <v>10</v>
      </c>
      <c r="K21" s="45">
        <v>24986.7925887547</v>
      </c>
      <c r="L21" s="41"/>
      <c r="M21" s="38">
        <v>19634.99</v>
      </c>
      <c r="N21" s="41">
        <f t="shared" si="4"/>
        <v>-0.246575342465753</v>
      </c>
      <c r="O21" s="42">
        <v>24986.7925887547</v>
      </c>
      <c r="P21" s="43"/>
      <c r="Q21" s="43">
        <v>11.7872226344301</v>
      </c>
      <c r="R21" s="42">
        <v>3737.26297137544</v>
      </c>
      <c r="S21" s="38">
        <f>SUM(S16:S20)</f>
        <v>168.951936</v>
      </c>
      <c r="T21" s="20">
        <f t="shared" si="5"/>
        <v>0.183341115654618</v>
      </c>
      <c r="U21" s="41">
        <f t="shared" si="6"/>
        <v>-0.201367944085163</v>
      </c>
      <c r="V21" s="51">
        <v>934.31574284386</v>
      </c>
      <c r="W21" s="43">
        <v>154.782190690266</v>
      </c>
      <c r="X21" s="43">
        <v>0</v>
      </c>
      <c r="Y21" s="42">
        <f>SUM(Y16:Y20)</f>
        <v>16253.6281535921</v>
      </c>
      <c r="Z21" s="38">
        <f>SUM(Z16:Z20)</f>
        <v>5919.85761948276</v>
      </c>
      <c r="AA21" s="20">
        <f t="shared" si="7"/>
        <v>1.47710475654541</v>
      </c>
      <c r="AB21" s="41">
        <f t="shared" si="8"/>
        <v>0.117642268737223</v>
      </c>
      <c r="AC21" s="42">
        <v>1928.4539027523</v>
      </c>
      <c r="AD21" s="43">
        <v>5127.85646017699</v>
      </c>
      <c r="AE21" s="38">
        <v>13.6659808199057</v>
      </c>
      <c r="AF21" s="42">
        <f>SUM(AF16:AF20)</f>
        <v>2907.40039564126</v>
      </c>
      <c r="AG21" s="63">
        <v>212.945833333333</v>
      </c>
      <c r="AH21" s="38">
        <v>2.68646017699115</v>
      </c>
      <c r="AI21" s="62">
        <v>0</v>
      </c>
      <c r="AJ21" s="63">
        <f>SUM(AJ16:AJ20)</f>
        <v>1017.59013847444</v>
      </c>
      <c r="AK21" s="38">
        <v>288.703716814159</v>
      </c>
      <c r="AL21" s="38">
        <v>5</v>
      </c>
      <c r="AM21" s="60" t="s">
        <v>72</v>
      </c>
      <c r="AN21" s="64">
        <v>2.68583767318233</v>
      </c>
      <c r="AO21" s="75">
        <f>SUM(AO16:AO20)</f>
        <v>173</v>
      </c>
      <c r="AP21" s="75">
        <f>SUM(AP16:AP20)</f>
        <v>173</v>
      </c>
      <c r="AQ21" s="75">
        <f>SUM(AQ16:AQ20)</f>
        <v>357</v>
      </c>
      <c r="AR21" s="77">
        <v>1.35260115606936</v>
      </c>
      <c r="AS21" s="20">
        <v>8</v>
      </c>
      <c r="AT21" s="78">
        <f>SUM(AT16:AT20)</f>
        <v>254955.3679</v>
      </c>
      <c r="AU21" s="78">
        <v>63738.841975</v>
      </c>
      <c r="AV21" s="78">
        <f>SUM(AV16:AV20)</f>
        <v>35029</v>
      </c>
      <c r="AW21" s="77">
        <v>0.362620331399581</v>
      </c>
      <c r="AX21" s="20">
        <v>0</v>
      </c>
      <c r="AY21" s="85">
        <f>SUM(AY16:AY20)</f>
        <v>2.42</v>
      </c>
      <c r="AZ21" s="85">
        <v>0.988562091503268</v>
      </c>
      <c r="BA21" s="85">
        <v>1.6602</v>
      </c>
      <c r="BB21" s="43">
        <v>5</v>
      </c>
      <c r="BC21" s="86"/>
      <c r="BD21" s="43">
        <f t="shared" si="9"/>
        <v>0</v>
      </c>
      <c r="BE21" s="24">
        <v>0.025</v>
      </c>
      <c r="BF21" s="24">
        <v>0.025</v>
      </c>
      <c r="BG21" s="94">
        <v>0.724947863044087</v>
      </c>
      <c r="BH21" s="43">
        <v>3</v>
      </c>
      <c r="BI21" s="95">
        <f t="shared" si="10"/>
        <v>0.0467559171039182</v>
      </c>
      <c r="BJ21" s="99">
        <v>0.2</v>
      </c>
      <c r="BK21" s="97"/>
      <c r="BL21" s="98">
        <v>0.4</v>
      </c>
      <c r="BM21" s="105"/>
      <c r="BN21" s="112">
        <v>69.7390411275181</v>
      </c>
      <c r="BO21" s="113">
        <v>1308.0420399814</v>
      </c>
      <c r="BP21" s="114">
        <v>1.5</v>
      </c>
      <c r="BQ21" s="113">
        <f>SUM(BQ16:BQ20)</f>
        <v>7.56</v>
      </c>
      <c r="BR21" s="115">
        <v>0.00450667476098111</v>
      </c>
      <c r="BS21" s="116">
        <v>0.00450667476098111</v>
      </c>
      <c r="BT21" s="117">
        <v>64.5557567194299</v>
      </c>
    </row>
    <row r="22" spans="1:72">
      <c r="A22" s="21" t="s">
        <v>93</v>
      </c>
      <c r="B22" s="22" t="s">
        <v>94</v>
      </c>
      <c r="C22" s="23">
        <v>0.048</v>
      </c>
      <c r="D22" s="18">
        <f>VLOOKUP(B22,'[2]2019年2季度虚拟核算'!C:Q,15,0)</f>
        <v>0.155911206679789</v>
      </c>
      <c r="E22" s="19">
        <f t="shared" si="0"/>
        <v>3.24815013916227</v>
      </c>
      <c r="F22" s="20">
        <f t="shared" si="1"/>
        <v>10</v>
      </c>
      <c r="G22" s="18">
        <v>0.02</v>
      </c>
      <c r="H22" s="18">
        <f>VLOOKUP(B22,'[2]2019年2季度虚拟核算'!C:R,16,0)</f>
        <v>0.0195630720987415</v>
      </c>
      <c r="I22" s="19">
        <f t="shared" si="2"/>
        <v>0.978153604937077</v>
      </c>
      <c r="J22" s="20">
        <f t="shared" si="3"/>
        <v>9.78153604937077</v>
      </c>
      <c r="K22" s="36">
        <v>8404.59647977748</v>
      </c>
      <c r="L22" s="41"/>
      <c r="M22" s="38">
        <v>3851.60588400113</v>
      </c>
      <c r="N22" s="41">
        <f t="shared" si="4"/>
        <v>-0.246575342465753</v>
      </c>
      <c r="O22" s="42">
        <v>8404.59647977748</v>
      </c>
      <c r="P22" s="43"/>
      <c r="Q22" s="43">
        <v>0</v>
      </c>
      <c r="R22" s="42">
        <v>902.06423252387</v>
      </c>
      <c r="S22" s="38">
        <f>VLOOKUP(B22,[1]自有品牌手机收入!$F$2:$G$23,2,0)/10000</f>
        <v>35.694675</v>
      </c>
      <c r="T22" s="20">
        <f t="shared" si="5"/>
        <v>0.160478303296622</v>
      </c>
      <c r="U22" s="41">
        <f t="shared" si="6"/>
        <v>-0.207005349872066</v>
      </c>
      <c r="V22" s="51">
        <v>225.516058130967</v>
      </c>
      <c r="W22" s="43">
        <v>13.6032748318584</v>
      </c>
      <c r="X22" s="43">
        <v>0</v>
      </c>
      <c r="Y22" s="42">
        <v>5228.89376985685</v>
      </c>
      <c r="Z22" s="38">
        <f>VLOOKUP(B22,'[1]自有品牌智能硬件收入（已加配额制摊分）'!$H$2:$I$23,2,0)/10000</f>
        <v>1845.19530262069</v>
      </c>
      <c r="AA22" s="20">
        <f t="shared" si="7"/>
        <v>1.43114249208265</v>
      </c>
      <c r="AB22" s="41">
        <f t="shared" si="8"/>
        <v>0.106309107636817</v>
      </c>
      <c r="AC22" s="42">
        <v>1292.14091708653</v>
      </c>
      <c r="AD22" s="43">
        <v>400.449115044248</v>
      </c>
      <c r="AE22" s="38">
        <v>0</v>
      </c>
      <c r="AF22" s="42">
        <v>914.589915409831</v>
      </c>
      <c r="AG22" s="38">
        <v>70.5760416666667</v>
      </c>
      <c r="AH22" s="38">
        <v>3.14911504424779</v>
      </c>
      <c r="AI22" s="62">
        <v>0</v>
      </c>
      <c r="AJ22" s="63">
        <v>320.106470393441</v>
      </c>
      <c r="AK22" s="38">
        <v>5.59168141592921</v>
      </c>
      <c r="AL22" s="38">
        <v>0</v>
      </c>
      <c r="AM22" s="60" t="s">
        <v>72</v>
      </c>
      <c r="AN22" s="61">
        <v>0.361047565790588</v>
      </c>
      <c r="AO22" s="75">
        <v>23</v>
      </c>
      <c r="AP22" s="75">
        <v>23</v>
      </c>
      <c r="AQ22" s="76">
        <f>VLOOKUP(B22,[1]渠道类指标!$B$2:$F$22,5,0)</f>
        <v>38</v>
      </c>
      <c r="AR22" s="77">
        <v>1.04347826086957</v>
      </c>
      <c r="AS22" s="20">
        <v>8</v>
      </c>
      <c r="AT22" s="78">
        <v>40333.7</v>
      </c>
      <c r="AU22" s="78">
        <v>10083.425</v>
      </c>
      <c r="AV22" s="79">
        <f>VLOOKUP(B22,[1]渠道类指标!$B$2:$F$22,4,0)</f>
        <v>24049</v>
      </c>
      <c r="AW22" s="77">
        <v>0.174940558391618</v>
      </c>
      <c r="AX22" s="20">
        <v>0</v>
      </c>
      <c r="AY22" s="85">
        <v>0.76</v>
      </c>
      <c r="AZ22" s="85">
        <v>0.310457516339869</v>
      </c>
      <c r="BA22" s="85">
        <v>0.3319</v>
      </c>
      <c r="BB22" s="43">
        <v>5</v>
      </c>
      <c r="BC22" s="86"/>
      <c r="BD22" s="43">
        <f t="shared" si="9"/>
        <v>0</v>
      </c>
      <c r="BE22" s="23">
        <v>0.025</v>
      </c>
      <c r="BF22" s="23">
        <v>0.025</v>
      </c>
      <c r="BG22" s="94">
        <v>1.13157498930316</v>
      </c>
      <c r="BH22" s="43">
        <v>3</v>
      </c>
      <c r="BI22" s="95">
        <f t="shared" si="10"/>
        <v>0.0195630720987415</v>
      </c>
      <c r="BJ22" s="96"/>
      <c r="BK22" s="97"/>
      <c r="BL22" s="98">
        <v>-1.33</v>
      </c>
      <c r="BM22" s="105"/>
      <c r="BN22" s="112">
        <v>34.8125836151614</v>
      </c>
      <c r="BO22" s="113">
        <v>315.722481383354</v>
      </c>
      <c r="BP22" s="114">
        <v>0.978153604937077</v>
      </c>
      <c r="BQ22" s="113">
        <v>2.32</v>
      </c>
      <c r="BR22" s="115">
        <v>0.0137727958342364</v>
      </c>
      <c r="BS22" s="116">
        <v>0.0137727958342364</v>
      </c>
      <c r="BT22" s="117">
        <v>29.5485366456536</v>
      </c>
    </row>
    <row r="23" spans="1:72">
      <c r="A23" s="21" t="s">
        <v>93</v>
      </c>
      <c r="B23" s="22" t="s">
        <v>95</v>
      </c>
      <c r="C23" s="23">
        <v>0.048</v>
      </c>
      <c r="D23" s="18">
        <f>VLOOKUP(B23,'[2]2019年2季度虚拟核算'!C:Q,15,0)</f>
        <v>0.072006354246228</v>
      </c>
      <c r="E23" s="19">
        <f t="shared" si="0"/>
        <v>1.50013238012975</v>
      </c>
      <c r="F23" s="20">
        <f t="shared" si="1"/>
        <v>10</v>
      </c>
      <c r="G23" s="18">
        <v>0.02</v>
      </c>
      <c r="H23" s="18">
        <f>VLOOKUP(B23,'[2]2019年2季度虚拟核算'!C:R,16,0)</f>
        <v>-0.0157324599293021</v>
      </c>
      <c r="I23" s="44">
        <f t="shared" si="2"/>
        <v>-0.786622996465103</v>
      </c>
      <c r="J23" s="20">
        <f t="shared" si="3"/>
        <v>0</v>
      </c>
      <c r="K23" s="36">
        <v>421.17765357595</v>
      </c>
      <c r="L23" s="41"/>
      <c r="M23" s="38">
        <v>769.205825920169</v>
      </c>
      <c r="N23" s="41">
        <f t="shared" si="4"/>
        <v>-0.246575342465753</v>
      </c>
      <c r="O23" s="42">
        <v>421.17765357595</v>
      </c>
      <c r="P23" s="43"/>
      <c r="Q23" s="43">
        <v>15.5328408178519</v>
      </c>
      <c r="R23" s="42">
        <v>453.748657413416</v>
      </c>
      <c r="S23" s="38">
        <f>VLOOKUP(B23,[1]自有品牌手机收入!$F$2:$G$23,2,0)/10000</f>
        <v>47.9671760000001</v>
      </c>
      <c r="T23" s="20">
        <f t="shared" si="5"/>
        <v>0.428725339310193</v>
      </c>
      <c r="U23" s="41">
        <f t="shared" si="6"/>
        <v>-0.140862245101596</v>
      </c>
      <c r="V23" s="51">
        <v>113.437164353354</v>
      </c>
      <c r="W23" s="43">
        <v>1.46053033628319</v>
      </c>
      <c r="X23" s="43">
        <v>0</v>
      </c>
      <c r="Y23" s="42">
        <v>3540.34596094398</v>
      </c>
      <c r="Z23" s="38">
        <f>VLOOKUP(B23,'[1]自有品牌智能硬件收入（已加配额制摊分）'!$H$2:$I$23,2,0)/10000</f>
        <v>1736.56738427586</v>
      </c>
      <c r="AA23" s="20">
        <f t="shared" si="7"/>
        <v>1.98928172008893</v>
      </c>
      <c r="AB23" s="41">
        <f t="shared" si="8"/>
        <v>0.243932478926039</v>
      </c>
      <c r="AC23" s="42">
        <v>387.640197256043</v>
      </c>
      <c r="AD23" s="43">
        <v>2.86106194690266</v>
      </c>
      <c r="AE23" s="38">
        <v>0</v>
      </c>
      <c r="AF23" s="42">
        <v>577.519847922499</v>
      </c>
      <c r="AG23" s="38">
        <v>40.2135416666667</v>
      </c>
      <c r="AH23" s="38">
        <v>2.86106194690266</v>
      </c>
      <c r="AI23" s="62">
        <v>0</v>
      </c>
      <c r="AJ23" s="63">
        <v>202.131946772875</v>
      </c>
      <c r="AK23" s="38">
        <v>22.9506194690265</v>
      </c>
      <c r="AL23" s="38">
        <v>0</v>
      </c>
      <c r="AM23" s="60" t="s">
        <v>72</v>
      </c>
      <c r="AN23" s="61">
        <v>3.47259978285918</v>
      </c>
      <c r="AO23" s="75">
        <v>24</v>
      </c>
      <c r="AP23" s="75">
        <v>24</v>
      </c>
      <c r="AQ23" s="76">
        <f>VLOOKUP(B23,[1]渠道类指标!$B$2:$F$22,5,0)</f>
        <v>30</v>
      </c>
      <c r="AR23" s="77">
        <v>1</v>
      </c>
      <c r="AS23" s="20">
        <v>8</v>
      </c>
      <c r="AT23" s="78">
        <v>14681.457</v>
      </c>
      <c r="AU23" s="78">
        <v>3670.36425</v>
      </c>
      <c r="AV23" s="79">
        <f>VLOOKUP(B23,[1]渠道类指标!$B$2:$F$22,4,0)</f>
        <v>5178</v>
      </c>
      <c r="AW23" s="77">
        <v>0.299697775227622</v>
      </c>
      <c r="AX23" s="20">
        <v>0</v>
      </c>
      <c r="AY23" s="85">
        <v>1.6</v>
      </c>
      <c r="AZ23" s="85">
        <v>0.65359477124183</v>
      </c>
      <c r="BA23" s="85">
        <v>0.9469</v>
      </c>
      <c r="BB23" s="43">
        <v>5</v>
      </c>
      <c r="BC23" s="86"/>
      <c r="BD23" s="43">
        <f t="shared" si="9"/>
        <v>0</v>
      </c>
      <c r="BE23" s="23">
        <v>0.025</v>
      </c>
      <c r="BF23" s="23">
        <v>0.025</v>
      </c>
      <c r="BG23" s="94">
        <v>-3.21147464103953</v>
      </c>
      <c r="BH23" s="43">
        <v>0</v>
      </c>
      <c r="BI23" s="95">
        <f t="shared" si="10"/>
        <v>-0.0157324599293021</v>
      </c>
      <c r="BJ23" s="96"/>
      <c r="BK23" s="97"/>
      <c r="BL23" s="98">
        <v>-1.5</v>
      </c>
      <c r="BM23" s="105"/>
      <c r="BN23" s="112">
        <v>40.5054406007111</v>
      </c>
      <c r="BO23" s="113">
        <v>158.812030094696</v>
      </c>
      <c r="BP23" s="114">
        <v>0</v>
      </c>
      <c r="BQ23" s="113">
        <v>1.35</v>
      </c>
      <c r="BR23" s="115">
        <v>0.0198161982289939</v>
      </c>
      <c r="BS23" s="116">
        <v>0.0198161982289939</v>
      </c>
      <c r="BT23" s="117">
        <v>28.4742079965422</v>
      </c>
    </row>
    <row r="24" spans="1:72">
      <c r="A24" s="21" t="s">
        <v>93</v>
      </c>
      <c r="B24" s="22" t="s">
        <v>96</v>
      </c>
      <c r="C24" s="23">
        <v>0.048</v>
      </c>
      <c r="D24" s="18">
        <f>VLOOKUP(B24,'[2]2019年2季度虚拟核算'!C:Q,15,0)</f>
        <v>0.0964581465961528</v>
      </c>
      <c r="E24" s="19">
        <f t="shared" si="0"/>
        <v>2.00954472075318</v>
      </c>
      <c r="F24" s="20">
        <f t="shared" si="1"/>
        <v>10</v>
      </c>
      <c r="G24" s="18">
        <v>0.02</v>
      </c>
      <c r="H24" s="18">
        <f>VLOOKUP(B24,'[2]2019年2季度虚拟核算'!C:R,16,0)</f>
        <v>0.0251866241641265</v>
      </c>
      <c r="I24" s="19">
        <f t="shared" si="2"/>
        <v>1.25933120820632</v>
      </c>
      <c r="J24" s="20">
        <f t="shared" si="3"/>
        <v>10</v>
      </c>
      <c r="K24" s="36">
        <v>2304.08531035657</v>
      </c>
      <c r="L24" s="41"/>
      <c r="M24" s="38">
        <v>397.964131705623</v>
      </c>
      <c r="N24" s="41">
        <f t="shared" si="4"/>
        <v>-0.246575342465753</v>
      </c>
      <c r="O24" s="42">
        <v>2304.08531035657</v>
      </c>
      <c r="P24" s="43"/>
      <c r="Q24" s="43">
        <v>0</v>
      </c>
      <c r="R24" s="42">
        <v>1184.40223534046</v>
      </c>
      <c r="S24" s="38">
        <f>VLOOKUP(B24,[1]自有品牌手机收入!$F$2:$G$23,2,0)/10000</f>
        <v>10.582606</v>
      </c>
      <c r="T24" s="20">
        <f t="shared" si="5"/>
        <v>0.0362362931063016</v>
      </c>
      <c r="U24" s="41">
        <f t="shared" si="6"/>
        <v>-0.237640366083378</v>
      </c>
      <c r="V24" s="51">
        <v>296.100558835114</v>
      </c>
      <c r="W24" s="43">
        <v>2.63309426548673</v>
      </c>
      <c r="X24" s="43">
        <v>0</v>
      </c>
      <c r="Y24" s="42">
        <v>3604.77263485284</v>
      </c>
      <c r="Z24" s="38">
        <f>VLOOKUP(B24,'[1]自有品牌智能硬件收入（已加配额制摊分）'!$H$2:$I$23,2,0)/10000</f>
        <v>2323.14778841379</v>
      </c>
      <c r="AA24" s="20">
        <f t="shared" si="7"/>
        <v>2.61366135233735</v>
      </c>
      <c r="AB24" s="41">
        <f t="shared" si="8"/>
        <v>0.397889100576334</v>
      </c>
      <c r="AC24" s="42">
        <v>31</v>
      </c>
      <c r="AD24" s="43">
        <v>30.9158407079646</v>
      </c>
      <c r="AE24" s="38">
        <v>9.97285184127891</v>
      </c>
      <c r="AF24" s="42">
        <v>593.222306137592</v>
      </c>
      <c r="AG24" s="38">
        <v>42.4666666666667</v>
      </c>
      <c r="AH24" s="38">
        <v>30.9158407079646</v>
      </c>
      <c r="AI24" s="62">
        <v>6.98</v>
      </c>
      <c r="AJ24" s="63">
        <v>207.627807148157</v>
      </c>
      <c r="AK24" s="38">
        <v>50.661946902655</v>
      </c>
      <c r="AL24" s="38">
        <v>5</v>
      </c>
      <c r="AM24" s="60" t="s">
        <v>72</v>
      </c>
      <c r="AN24" s="61">
        <v>0.888888888888889</v>
      </c>
      <c r="AO24" s="75">
        <v>20</v>
      </c>
      <c r="AP24" s="75">
        <v>20</v>
      </c>
      <c r="AQ24" s="76">
        <f>VLOOKUP(B24,[1]渠道类指标!$B$2:$F$22,5,0)</f>
        <v>33</v>
      </c>
      <c r="AR24" s="77">
        <v>1.35</v>
      </c>
      <c r="AS24" s="20">
        <v>8</v>
      </c>
      <c r="AT24" s="78">
        <v>22812.6788</v>
      </c>
      <c r="AU24" s="78">
        <v>5703.1697</v>
      </c>
      <c r="AV24" s="79">
        <f>VLOOKUP(B24,[1]渠道类指标!$B$2:$F$22,4,0)</f>
        <v>3066</v>
      </c>
      <c r="AW24" s="77">
        <v>0.123089446207431</v>
      </c>
      <c r="AX24" s="20">
        <v>0</v>
      </c>
      <c r="AY24" s="85">
        <v>0.26</v>
      </c>
      <c r="AZ24" s="85">
        <v>0.106209150326797</v>
      </c>
      <c r="BA24" s="85">
        <v>0.1507</v>
      </c>
      <c r="BB24" s="43">
        <v>5</v>
      </c>
      <c r="BC24" s="86"/>
      <c r="BD24" s="43">
        <f t="shared" si="9"/>
        <v>0</v>
      </c>
      <c r="BE24" s="23">
        <v>0.025</v>
      </c>
      <c r="BF24" s="23">
        <v>0.025</v>
      </c>
      <c r="BG24" s="94">
        <v>1.62191226808536</v>
      </c>
      <c r="BH24" s="43">
        <v>3</v>
      </c>
      <c r="BI24" s="95">
        <f t="shared" si="10"/>
        <v>0.0251866241641265</v>
      </c>
      <c r="BJ24" s="96"/>
      <c r="BK24" s="97"/>
      <c r="BL24" s="98">
        <v>0</v>
      </c>
      <c r="BM24" s="105"/>
      <c r="BN24" s="112">
        <v>58.842737019063</v>
      </c>
      <c r="BO24" s="113">
        <v>414.540782369159</v>
      </c>
      <c r="BP24" s="114">
        <v>1.25933120820632</v>
      </c>
      <c r="BQ24" s="113">
        <v>1.43</v>
      </c>
      <c r="BR24" s="115">
        <v>0.997285184127891</v>
      </c>
      <c r="BS24" s="116">
        <v>0.997285184127891</v>
      </c>
      <c r="BT24" s="117">
        <v>61.1077386523985</v>
      </c>
    </row>
    <row r="25" spans="1:72">
      <c r="A25" s="21" t="s">
        <v>93</v>
      </c>
      <c r="B25" s="22" t="s">
        <v>97</v>
      </c>
      <c r="C25" s="23">
        <v>0.048</v>
      </c>
      <c r="D25" s="18">
        <f>VLOOKUP(B25,'[2]2019年2季度虚拟核算'!C:Q,15,0)</f>
        <v>0.0974719655674468</v>
      </c>
      <c r="E25" s="19">
        <f t="shared" si="0"/>
        <v>2.03066594932181</v>
      </c>
      <c r="F25" s="20">
        <f t="shared" si="1"/>
        <v>10</v>
      </c>
      <c r="G25" s="18">
        <v>0.02</v>
      </c>
      <c r="H25" s="18">
        <f>VLOOKUP(B25,'[2]2019年2季度虚拟核算'!C:R,16,0)</f>
        <v>0.0486963741039829</v>
      </c>
      <c r="I25" s="19">
        <f t="shared" si="2"/>
        <v>2.43481870519914</v>
      </c>
      <c r="J25" s="20">
        <f t="shared" si="3"/>
        <v>10</v>
      </c>
      <c r="K25" s="36">
        <v>795.491484398402</v>
      </c>
      <c r="L25" s="41"/>
      <c r="M25" s="38">
        <v>2783.71372007647</v>
      </c>
      <c r="N25" s="41">
        <f t="shared" si="4"/>
        <v>-0.246575342465753</v>
      </c>
      <c r="O25" s="42">
        <v>795.491484398402</v>
      </c>
      <c r="P25" s="43"/>
      <c r="Q25" s="43">
        <v>20.9619250882242</v>
      </c>
      <c r="R25" s="42">
        <v>497.974227317195</v>
      </c>
      <c r="S25" s="38">
        <f>VLOOKUP(B25,[1]自有品牌手机收入!$F$2:$G$23,2,0)/10000</f>
        <v>132.765017000001</v>
      </c>
      <c r="T25" s="20">
        <f t="shared" si="5"/>
        <v>1.08125254830671</v>
      </c>
      <c r="U25" s="41">
        <f t="shared" si="6"/>
        <v>0.0200348749249424</v>
      </c>
      <c r="V25" s="51">
        <v>124.493556829299</v>
      </c>
      <c r="W25" s="43">
        <v>32.969046761062</v>
      </c>
      <c r="X25" s="43">
        <v>0</v>
      </c>
      <c r="Y25" s="42">
        <v>2423.98243766604</v>
      </c>
      <c r="Z25" s="38">
        <f>VLOOKUP(B25,'[1]自有品牌智能硬件收入（已加配额制摊分）'!$H$2:$I$23,2,0)/10000</f>
        <v>1673.69101203448</v>
      </c>
      <c r="AA25" s="20">
        <f t="shared" si="7"/>
        <v>2.8002458997498</v>
      </c>
      <c r="AB25" s="41">
        <f t="shared" si="8"/>
        <v>0.443896249253375</v>
      </c>
      <c r="AC25" s="42">
        <v>31</v>
      </c>
      <c r="AD25" s="43">
        <v>7.24716814159292</v>
      </c>
      <c r="AE25" s="38">
        <v>0</v>
      </c>
      <c r="AF25" s="42">
        <v>383.651544649279</v>
      </c>
      <c r="AG25" s="38">
        <v>29.18125</v>
      </c>
      <c r="AH25" s="38">
        <v>7.24716814159292</v>
      </c>
      <c r="AI25" s="62">
        <v>0</v>
      </c>
      <c r="AJ25" s="63">
        <v>134.278040627248</v>
      </c>
      <c r="AK25" s="38">
        <v>31.1977876106195</v>
      </c>
      <c r="AL25" s="38">
        <v>5</v>
      </c>
      <c r="AM25" s="60" t="s">
        <v>72</v>
      </c>
      <c r="AN25" s="61">
        <v>2.22222222222222</v>
      </c>
      <c r="AO25" s="75">
        <v>10</v>
      </c>
      <c r="AP25" s="75">
        <v>10</v>
      </c>
      <c r="AQ25" s="76">
        <f>VLOOKUP(B25,[1]渠道类指标!$B$2:$F$22,5,0)</f>
        <v>12</v>
      </c>
      <c r="AR25" s="77">
        <v>1.6</v>
      </c>
      <c r="AS25" s="20">
        <v>8</v>
      </c>
      <c r="AT25" s="78">
        <v>8374.6</v>
      </c>
      <c r="AU25" s="78">
        <v>2093.65</v>
      </c>
      <c r="AV25" s="79">
        <f>VLOOKUP(B25,[1]渠道类指标!$B$2:$F$22,4,0)</f>
        <v>5151</v>
      </c>
      <c r="AW25" s="77">
        <v>1.83029637236405</v>
      </c>
      <c r="AX25" s="20">
        <v>8</v>
      </c>
      <c r="AY25" s="85">
        <v>0.32</v>
      </c>
      <c r="AZ25" s="85">
        <v>0.130718954248366</v>
      </c>
      <c r="BA25" s="85">
        <v>0.1847</v>
      </c>
      <c r="BB25" s="43">
        <v>5</v>
      </c>
      <c r="BC25" s="86"/>
      <c r="BD25" s="43">
        <f t="shared" si="9"/>
        <v>0</v>
      </c>
      <c r="BE25" s="23">
        <v>0.025</v>
      </c>
      <c r="BF25" s="23">
        <v>0.025</v>
      </c>
      <c r="BG25" s="94">
        <v>-0.0522867645220922</v>
      </c>
      <c r="BH25" s="43">
        <v>0</v>
      </c>
      <c r="BI25" s="95">
        <f t="shared" si="10"/>
        <v>0.0486963741039829</v>
      </c>
      <c r="BJ25" s="96"/>
      <c r="BK25" s="97"/>
      <c r="BL25" s="98">
        <v>-1.5</v>
      </c>
      <c r="BM25" s="105"/>
      <c r="BN25" s="112">
        <v>67.6841473104465</v>
      </c>
      <c r="BO25" s="113">
        <v>174.290979561018</v>
      </c>
      <c r="BP25" s="114">
        <v>1.5</v>
      </c>
      <c r="BQ25" s="113">
        <v>0.89</v>
      </c>
      <c r="BR25" s="115">
        <v>0.233779617470739</v>
      </c>
      <c r="BS25" s="116">
        <v>0.233779617470739</v>
      </c>
      <c r="BT25" s="117">
        <v>64.9813123722234</v>
      </c>
    </row>
    <row r="26" spans="1:72">
      <c r="A26" s="21" t="s">
        <v>93</v>
      </c>
      <c r="B26" s="22" t="s">
        <v>98</v>
      </c>
      <c r="C26" s="23">
        <v>0.048</v>
      </c>
      <c r="D26" s="18">
        <f>VLOOKUP(B26,'[2]2019年2季度虚拟核算'!C:Q,15,0)</f>
        <v>0.143308517442667</v>
      </c>
      <c r="E26" s="19">
        <f t="shared" si="0"/>
        <v>2.98559411338889</v>
      </c>
      <c r="F26" s="20">
        <f t="shared" si="1"/>
        <v>10</v>
      </c>
      <c r="G26" s="18">
        <v>0.02</v>
      </c>
      <c r="H26" s="18">
        <f>VLOOKUP(B26,'[2]2019年2季度虚拟核算'!C:R,16,0)</f>
        <v>-0.0230511752335163</v>
      </c>
      <c r="I26" s="44">
        <f t="shared" si="2"/>
        <v>-1.15255876167582</v>
      </c>
      <c r="J26" s="20">
        <f t="shared" si="3"/>
        <v>0</v>
      </c>
      <c r="K26" s="36">
        <v>163.634562167844</v>
      </c>
      <c r="L26" s="41"/>
      <c r="M26" s="38">
        <v>812.322330210106</v>
      </c>
      <c r="N26" s="41">
        <f t="shared" si="4"/>
        <v>-0.246575342465753</v>
      </c>
      <c r="O26" s="42">
        <v>163.634562167844</v>
      </c>
      <c r="P26" s="43"/>
      <c r="Q26" s="43">
        <v>16.8720053715736</v>
      </c>
      <c r="R26" s="42">
        <v>508.914388226003</v>
      </c>
      <c r="S26" s="38">
        <f>VLOOKUP(B26,[1]自有品牌手机收入!$F$2:$G$23,2,0)/10000</f>
        <v>127.63379</v>
      </c>
      <c r="T26" s="20">
        <f t="shared" si="5"/>
        <v>1.01711788482828</v>
      </c>
      <c r="U26" s="41">
        <f t="shared" si="6"/>
        <v>0.00422084831382313</v>
      </c>
      <c r="V26" s="51">
        <v>127.228597056501</v>
      </c>
      <c r="W26" s="43">
        <v>37.9333889203539</v>
      </c>
      <c r="X26" s="43">
        <v>0</v>
      </c>
      <c r="Y26" s="42">
        <v>1488.57457603803</v>
      </c>
      <c r="Z26" s="38">
        <f>VLOOKUP(B26,'[1]自有品牌智能硬件收入（已加配额制摊分）'!$H$2:$I$23,2,0)/10000</f>
        <v>599.136461172414</v>
      </c>
      <c r="AA26" s="20">
        <f t="shared" si="7"/>
        <v>1.6323207736833</v>
      </c>
      <c r="AB26" s="41">
        <f t="shared" si="8"/>
        <v>0.155914711319169</v>
      </c>
      <c r="AC26" s="42">
        <v>50.611535585293</v>
      </c>
      <c r="AD26" s="43">
        <v>11.7182300884956</v>
      </c>
      <c r="AE26" s="38">
        <v>0</v>
      </c>
      <c r="AF26" s="42">
        <v>233.79362528157</v>
      </c>
      <c r="AG26" s="38">
        <v>17.1572916666667</v>
      </c>
      <c r="AH26" s="38">
        <v>11.7182300884956</v>
      </c>
      <c r="AI26" s="62">
        <v>8.43</v>
      </c>
      <c r="AJ26" s="63">
        <v>81.8277688485493</v>
      </c>
      <c r="AK26" s="38">
        <v>21.98</v>
      </c>
      <c r="AL26" s="38">
        <v>5</v>
      </c>
      <c r="AM26" s="60" t="s">
        <v>72</v>
      </c>
      <c r="AN26" s="61">
        <v>3.7625970724537</v>
      </c>
      <c r="AO26" s="75">
        <v>16</v>
      </c>
      <c r="AP26" s="75">
        <v>16</v>
      </c>
      <c r="AQ26" s="76">
        <f>VLOOKUP(B26,[1]渠道类指标!$B$2:$F$22,5,0)</f>
        <v>19</v>
      </c>
      <c r="AR26" s="77">
        <v>1.0625</v>
      </c>
      <c r="AS26" s="20">
        <v>8</v>
      </c>
      <c r="AT26" s="78">
        <v>8260.824</v>
      </c>
      <c r="AU26" s="78">
        <v>2065.206</v>
      </c>
      <c r="AV26" s="79">
        <f>VLOOKUP(B26,[1]渠道类指标!$B$2:$F$22,4,0)</f>
        <v>1886</v>
      </c>
      <c r="AW26" s="77">
        <v>0.429497105857721</v>
      </c>
      <c r="AX26" s="20">
        <v>0</v>
      </c>
      <c r="AY26" s="85">
        <v>0.26</v>
      </c>
      <c r="AZ26" s="85">
        <v>0.106209150326797</v>
      </c>
      <c r="BA26" s="85">
        <v>0.0806</v>
      </c>
      <c r="BB26" s="43">
        <v>3.7944</v>
      </c>
      <c r="BC26" s="86"/>
      <c r="BD26" s="43">
        <f t="shared" si="9"/>
        <v>0</v>
      </c>
      <c r="BE26" s="23">
        <v>0.025</v>
      </c>
      <c r="BF26" s="23">
        <v>0.025</v>
      </c>
      <c r="BG26" s="94">
        <v>1.80085780733229</v>
      </c>
      <c r="BH26" s="43">
        <v>3</v>
      </c>
      <c r="BI26" s="95">
        <f t="shared" si="10"/>
        <v>-0.0230511752335163</v>
      </c>
      <c r="BJ26" s="96"/>
      <c r="BK26" s="97"/>
      <c r="BL26" s="98">
        <v>-0.5</v>
      </c>
      <c r="BM26" s="105"/>
      <c r="BN26" s="112">
        <v>58.3630172780795</v>
      </c>
      <c r="BO26" s="113">
        <v>178.120035879101</v>
      </c>
      <c r="BP26" s="114">
        <v>0</v>
      </c>
      <c r="BQ26" s="113">
        <v>0.51</v>
      </c>
      <c r="BR26" s="115">
        <v>1.47417974171511</v>
      </c>
      <c r="BS26" s="116">
        <v>1.47417974171511</v>
      </c>
      <c r="BT26" s="117">
        <v>53.7597487551626</v>
      </c>
    </row>
    <row r="27" spans="1:72">
      <c r="A27" s="21" t="s">
        <v>93</v>
      </c>
      <c r="B27" s="22" t="s">
        <v>99</v>
      </c>
      <c r="C27" s="24">
        <v>0.048</v>
      </c>
      <c r="D27" s="25">
        <f>VLOOKUP(B27,'[2]2019年2季度虚拟核算'!C:Q,15,0)</f>
        <v>0.125517628865352</v>
      </c>
      <c r="E27" s="26">
        <f t="shared" si="0"/>
        <v>2.6149506013615</v>
      </c>
      <c r="F27" s="27">
        <f t="shared" si="1"/>
        <v>10</v>
      </c>
      <c r="G27" s="25">
        <v>0.02</v>
      </c>
      <c r="H27" s="25">
        <f>VLOOKUP(B27,'[2]2019年2季度虚拟核算'!C:R,16,0)</f>
        <v>0.0187841026657317</v>
      </c>
      <c r="I27" s="26">
        <f t="shared" si="2"/>
        <v>0.939205133286587</v>
      </c>
      <c r="J27" s="27">
        <f t="shared" si="3"/>
        <v>9.39205133286586</v>
      </c>
      <c r="K27" s="45">
        <v>12088.9854902762</v>
      </c>
      <c r="L27" s="41"/>
      <c r="M27" s="38">
        <v>8614.8118919135</v>
      </c>
      <c r="N27" s="41">
        <f t="shared" si="4"/>
        <v>-0.246575342465753</v>
      </c>
      <c r="O27" s="42">
        <v>12088.9854902762</v>
      </c>
      <c r="P27" s="43"/>
      <c r="Q27" s="43">
        <v>10.6892491915589</v>
      </c>
      <c r="R27" s="42">
        <v>3547.10374082094</v>
      </c>
      <c r="S27" s="38">
        <f>SUM(S22:S26)</f>
        <v>354.643264000001</v>
      </c>
      <c r="T27" s="20">
        <f t="shared" si="5"/>
        <v>0.40547882572577</v>
      </c>
      <c r="U27" s="41">
        <f t="shared" si="6"/>
        <v>-0.14659426214981</v>
      </c>
      <c r="V27" s="51">
        <v>886.775935205235</v>
      </c>
      <c r="W27" s="43">
        <v>88.5993351150442</v>
      </c>
      <c r="X27" s="43">
        <v>0</v>
      </c>
      <c r="Y27" s="42">
        <f>SUM(Y22:Y26)</f>
        <v>16286.5693793577</v>
      </c>
      <c r="Z27" s="38">
        <f>SUM(Z22:Z26)</f>
        <v>8177.73794851724</v>
      </c>
      <c r="AA27" s="20">
        <f t="shared" si="7"/>
        <v>2.03635706185132</v>
      </c>
      <c r="AB27" s="41">
        <f t="shared" si="8"/>
        <v>0.255540097442791</v>
      </c>
      <c r="AC27" s="42">
        <v>1792.39264992786</v>
      </c>
      <c r="AD27" s="43">
        <v>453.191415929204</v>
      </c>
      <c r="AE27" s="38">
        <v>0</v>
      </c>
      <c r="AF27" s="42">
        <f>SUM(AF22:AF26)</f>
        <v>2702.77723940077</v>
      </c>
      <c r="AG27" s="63">
        <v>199.594791666667</v>
      </c>
      <c r="AH27" s="38">
        <v>55.8914159292036</v>
      </c>
      <c r="AI27" s="62">
        <v>0</v>
      </c>
      <c r="AJ27" s="63">
        <f>SUM(AJ22:AJ26)</f>
        <v>945.972033790269</v>
      </c>
      <c r="AK27" s="38">
        <v>132.38203539823</v>
      </c>
      <c r="AL27" s="38">
        <v>3.31626978571953</v>
      </c>
      <c r="AM27" s="60" t="s">
        <v>72</v>
      </c>
      <c r="AN27" s="64">
        <v>2.14147110644292</v>
      </c>
      <c r="AO27" s="75">
        <f>SUM(AO22:AO26)</f>
        <v>93</v>
      </c>
      <c r="AP27" s="75">
        <f>SUM(AP22:AP26)</f>
        <v>93</v>
      </c>
      <c r="AQ27" s="75">
        <f>SUM(AQ22:AQ26)</f>
        <v>132</v>
      </c>
      <c r="AR27" s="77">
        <v>1.16129032258065</v>
      </c>
      <c r="AS27" s="20">
        <v>8</v>
      </c>
      <c r="AT27" s="78">
        <f>SUM(AT22:AT26)</f>
        <v>94463.2598</v>
      </c>
      <c r="AU27" s="78">
        <v>23615.81495</v>
      </c>
      <c r="AV27" s="78">
        <f>SUM(AV22:AV26)</f>
        <v>39330</v>
      </c>
      <c r="AW27" s="77">
        <v>0.350824225949484</v>
      </c>
      <c r="AX27" s="20">
        <v>0</v>
      </c>
      <c r="AY27" s="85">
        <f>SUM(AY22:AY26)</f>
        <v>3.2</v>
      </c>
      <c r="AZ27" s="85">
        <v>1.30718954248366</v>
      </c>
      <c r="BA27" s="85">
        <v>1.6948</v>
      </c>
      <c r="BB27" s="43">
        <v>5</v>
      </c>
      <c r="BC27" s="86"/>
      <c r="BD27" s="43">
        <f t="shared" si="9"/>
        <v>0</v>
      </c>
      <c r="BE27" s="24">
        <v>0.025</v>
      </c>
      <c r="BF27" s="24">
        <v>0.025</v>
      </c>
      <c r="BG27" s="94">
        <v>0.258116731831837</v>
      </c>
      <c r="BH27" s="43">
        <v>3</v>
      </c>
      <c r="BI27" s="95">
        <f t="shared" si="10"/>
        <v>0.0187841026657317</v>
      </c>
      <c r="BJ27" s="100"/>
      <c r="BK27" s="97"/>
      <c r="BL27" s="98">
        <v>-0.966</v>
      </c>
      <c r="BM27" s="105"/>
      <c r="BN27" s="112">
        <v>50.5730414165872</v>
      </c>
      <c r="BO27" s="113">
        <v>1241.48630928733</v>
      </c>
      <c r="BP27" s="114">
        <v>0.939205133286587</v>
      </c>
      <c r="BQ27" s="113">
        <f>SUM(BQ22:BQ26)</f>
        <v>6.5</v>
      </c>
      <c r="BR27" s="115">
        <v>0.126172439184964</v>
      </c>
      <c r="BS27" s="116">
        <v>0.126172439184964</v>
      </c>
      <c r="BT27" s="117">
        <v>43.4830366061471</v>
      </c>
    </row>
    <row r="28" ht="15.75" spans="1:72">
      <c r="A28" s="22" t="s">
        <v>100</v>
      </c>
      <c r="B28" s="22" t="s">
        <v>101</v>
      </c>
      <c r="C28" s="24">
        <v>0.04</v>
      </c>
      <c r="D28" s="25">
        <f>VLOOKUP(B28,'[2]2019年2季度虚拟核算'!C:Q,15,0)</f>
        <v>0.0994926124734106</v>
      </c>
      <c r="E28" s="26">
        <f t="shared" si="0"/>
        <v>2.48731531183526</v>
      </c>
      <c r="F28" s="27">
        <f t="shared" si="1"/>
        <v>10</v>
      </c>
      <c r="G28" s="25">
        <v>0.02</v>
      </c>
      <c r="H28" s="25">
        <f>VLOOKUP(B28,'[2]2019年2季度虚拟核算'!C:R,16,0)</f>
        <v>0.0394398703343909</v>
      </c>
      <c r="I28" s="26">
        <f t="shared" si="2"/>
        <v>1.97199351671954</v>
      </c>
      <c r="J28" s="27">
        <f t="shared" si="3"/>
        <v>10</v>
      </c>
      <c r="K28" s="45">
        <v>107371.10177694</v>
      </c>
      <c r="L28" s="41"/>
      <c r="M28" s="38">
        <v>59495.47</v>
      </c>
      <c r="N28" s="41">
        <f t="shared" si="4"/>
        <v>-0.246575342465753</v>
      </c>
      <c r="O28" s="46">
        <v>107371.10177694</v>
      </c>
      <c r="P28" s="43"/>
      <c r="Q28" s="43">
        <v>0</v>
      </c>
      <c r="R28" s="46">
        <f>R27+R21+R15+R8</f>
        <v>15000</v>
      </c>
      <c r="S28" s="38">
        <f>S8+S15+S21+S27</f>
        <v>1570.864753</v>
      </c>
      <c r="T28" s="20">
        <f t="shared" si="5"/>
        <v>0.424715285070371</v>
      </c>
      <c r="U28" s="41">
        <f t="shared" si="6"/>
        <v>-0.141851025599087</v>
      </c>
      <c r="V28" s="51">
        <v>3750</v>
      </c>
      <c r="W28" s="43">
        <v>892.459719823006</v>
      </c>
      <c r="X28" s="46">
        <v>0</v>
      </c>
      <c r="Y28" s="46">
        <f>Y27+Y21+Y15+Y8</f>
        <v>67351.9</v>
      </c>
      <c r="Z28" s="38">
        <f>Z8+Z15+Z21+Z27</f>
        <v>30874.8001969655</v>
      </c>
      <c r="AA28" s="20">
        <f t="shared" si="7"/>
        <v>1.85910816867039</v>
      </c>
      <c r="AB28" s="41">
        <f t="shared" si="8"/>
        <v>0.211834890905028</v>
      </c>
      <c r="AC28" s="46">
        <v>8414.58933047781</v>
      </c>
      <c r="AD28" s="43">
        <v>8852.28957774336</v>
      </c>
      <c r="AE28" s="54">
        <v>10.112631398296</v>
      </c>
      <c r="AF28" s="46">
        <f>AF27+AF21+AF15+AF8</f>
        <v>11768.1</v>
      </c>
      <c r="AG28" s="54">
        <v>875</v>
      </c>
      <c r="AH28" s="38">
        <v>113.109734513274</v>
      </c>
      <c r="AI28" s="62">
        <v>0</v>
      </c>
      <c r="AJ28" s="54">
        <f>AJ27+AJ21+AJ15+AJ8</f>
        <v>4118.835</v>
      </c>
      <c r="AK28" s="38">
        <v>663.260265486726</v>
      </c>
      <c r="AL28" s="54">
        <v>3.79005865992415</v>
      </c>
      <c r="AM28" s="65"/>
      <c r="AN28" s="66">
        <v>3.76207641349884</v>
      </c>
      <c r="AO28" s="75">
        <f>AO27+AO21+AO15+AO8</f>
        <v>551</v>
      </c>
      <c r="AP28" s="75">
        <f>AP27+AP21+AP15+AP8</f>
        <v>551</v>
      </c>
      <c r="AQ28" s="75">
        <f>AQ27+AQ21+AQ15+AQ8</f>
        <v>829</v>
      </c>
      <c r="AR28" s="77">
        <v>1.17059891107078</v>
      </c>
      <c r="AS28" s="20">
        <v>8</v>
      </c>
      <c r="AT28" s="78">
        <f>AT27+AT21+AT15+AT8</f>
        <v>780297.5341</v>
      </c>
      <c r="AU28" s="78">
        <v>195074.383525</v>
      </c>
      <c r="AV28" s="78">
        <f>AV27+AV21+AV15+AV8</f>
        <v>123875</v>
      </c>
      <c r="AW28" s="77">
        <v>0.295794860182681</v>
      </c>
      <c r="AX28" s="20">
        <v>0</v>
      </c>
      <c r="AY28" s="85">
        <f>AY27+AY21+AY15+AY8</f>
        <v>12.24</v>
      </c>
      <c r="AZ28" s="85">
        <v>5</v>
      </c>
      <c r="BA28" s="85">
        <v>6.1257</v>
      </c>
      <c r="BB28" s="43">
        <v>5</v>
      </c>
      <c r="BC28" s="86"/>
      <c r="BD28" s="43">
        <f t="shared" si="9"/>
        <v>0</v>
      </c>
      <c r="BE28" s="24">
        <v>0.025</v>
      </c>
      <c r="BF28" s="24">
        <v>0.025</v>
      </c>
      <c r="BG28" s="94">
        <v>2.83841609961543</v>
      </c>
      <c r="BH28" s="43">
        <v>3</v>
      </c>
      <c r="BI28" s="95">
        <f t="shared" si="10"/>
        <v>0.0394398703343909</v>
      </c>
      <c r="BJ28" s="101">
        <v>0.77</v>
      </c>
      <c r="BK28" s="97"/>
      <c r="BL28" s="98">
        <v>-0.0856666666666667</v>
      </c>
      <c r="BM28" s="118"/>
      <c r="BN28" s="112">
        <v>54.345766471719</v>
      </c>
      <c r="BO28" s="119">
        <v>5250</v>
      </c>
      <c r="BP28" s="114">
        <v>1.5</v>
      </c>
      <c r="BQ28" s="119">
        <f>BQ27+BQ21+BQ15+BQ8</f>
        <v>29.99</v>
      </c>
      <c r="BR28" s="115">
        <v>0.0490679939076102</v>
      </c>
      <c r="BS28" s="116">
        <v>0.0490679939076102</v>
      </c>
      <c r="BT28" s="117">
        <v>50.6698296470609</v>
      </c>
    </row>
    <row r="29" ht="18.75" spans="1:72">
      <c r="A29" s="28" t="s">
        <v>102</v>
      </c>
      <c r="B29" s="29" t="s">
        <v>102</v>
      </c>
      <c r="C29" s="30"/>
      <c r="D29" s="31"/>
      <c r="E29" s="31"/>
      <c r="F29" s="31">
        <v>10</v>
      </c>
      <c r="G29" s="30"/>
      <c r="H29" s="31"/>
      <c r="I29" s="31"/>
      <c r="J29" s="31">
        <v>10</v>
      </c>
      <c r="K29" s="30"/>
      <c r="L29" s="31"/>
      <c r="M29" s="31"/>
      <c r="N29" s="31"/>
      <c r="O29" s="31"/>
      <c r="P29" s="31"/>
      <c r="Q29" s="31">
        <v>13</v>
      </c>
      <c r="R29" s="52"/>
      <c r="S29" s="53"/>
      <c r="T29" s="53"/>
      <c r="U29" s="53"/>
      <c r="V29" s="53"/>
      <c r="W29" s="53"/>
      <c r="X29" s="53">
        <v>15</v>
      </c>
      <c r="Y29" s="55"/>
      <c r="Z29" s="53"/>
      <c r="AA29" s="53"/>
      <c r="AB29" s="53"/>
      <c r="AC29" s="53"/>
      <c r="AD29" s="53"/>
      <c r="AE29" s="53">
        <v>10</v>
      </c>
      <c r="AF29" s="55"/>
      <c r="AG29" s="53"/>
      <c r="AH29" s="53"/>
      <c r="AI29" s="53">
        <v>7</v>
      </c>
      <c r="AJ29" s="53"/>
      <c r="AK29" s="53"/>
      <c r="AL29" s="53">
        <v>10</v>
      </c>
      <c r="AM29" s="55"/>
      <c r="AN29" s="53">
        <v>9</v>
      </c>
      <c r="AO29" s="55"/>
      <c r="AP29" s="53"/>
      <c r="AQ29" s="53"/>
      <c r="AR29" s="53"/>
      <c r="AS29" s="53">
        <v>8</v>
      </c>
      <c r="AT29" s="55"/>
      <c r="AU29" s="31"/>
      <c r="AV29" s="31"/>
      <c r="AW29" s="31"/>
      <c r="AX29" s="31">
        <v>8</v>
      </c>
      <c r="AY29" s="52"/>
      <c r="AZ29" s="31"/>
      <c r="BA29" s="31"/>
      <c r="BB29" s="31">
        <v>5</v>
      </c>
      <c r="BC29" s="55"/>
      <c r="BD29" s="87">
        <v>5</v>
      </c>
      <c r="BE29" s="102"/>
      <c r="BF29" s="31"/>
      <c r="BG29" s="31"/>
      <c r="BH29" s="87">
        <v>3</v>
      </c>
      <c r="BI29" s="55"/>
      <c r="BJ29" s="87">
        <v>5</v>
      </c>
      <c r="BK29" s="103"/>
      <c r="BL29" s="31">
        <v>2</v>
      </c>
      <c r="BM29" s="31">
        <v>-10</v>
      </c>
      <c r="BN29" s="120"/>
      <c r="BO29" s="30"/>
      <c r="BP29" s="30"/>
      <c r="BQ29" s="30"/>
      <c r="BR29" s="30"/>
      <c r="BS29" s="30"/>
      <c r="BT29" s="3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2019地市KPI导入模板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༄相识☤是缘࿐</cp:lastModifiedBy>
  <cp:revision>3</cp:revision>
  <dcterms:created xsi:type="dcterms:W3CDTF">2019-04-16T10:18:00Z</dcterms:created>
  <dcterms:modified xsi:type="dcterms:W3CDTF">2019-10-31T11:34:11Z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