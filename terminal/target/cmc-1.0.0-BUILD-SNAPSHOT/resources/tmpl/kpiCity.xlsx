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315" tabRatio="580"/>
  </bookViews>
  <sheets>
    <sheet name="2019地市KPI导入模板" sheetId="1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<sst xmlns="http://schemas.openxmlformats.org/spreadsheetml/2006/main" count="161" uniqueCount="115">
  <si>
    <t>考核对象</t>
  </si>
  <si>
    <t>利润类指标（20分）</t>
  </si>
  <si>
    <t>规模类指标（50分）</t>
  </si>
  <si>
    <t>重点产品指标（9分）</t>
  </si>
  <si>
    <t>渠道质量指标（16分）</t>
  </si>
  <si>
    <t>铁通指标（5分）</t>
  </si>
  <si>
    <t>加减分类</t>
  </si>
  <si>
    <t>kpi直接总分（加总）</t>
  </si>
  <si>
    <t>重点系数</t>
  </si>
  <si>
    <t>考虑重点系数后的KPI总分（最终考核得分是=1-14项得分*70%+1-14项得分*30%*完成率）</t>
  </si>
  <si>
    <t>运营中心</t>
  </si>
  <si>
    <t>地市</t>
  </si>
  <si>
    <t>直接毛利率-1季度指标</t>
  </si>
  <si>
    <t>直接毛利率-完成</t>
  </si>
  <si>
    <t>直接毛利率-完成比率</t>
  </si>
  <si>
    <t>直接毛利率-得分</t>
  </si>
  <si>
    <t>直接净利率-1季度指标</t>
  </si>
  <si>
    <t>直接净利率-完成</t>
  </si>
  <si>
    <t>直接净利率-完成比率</t>
  </si>
  <si>
    <t>直接净利率-得分</t>
  </si>
  <si>
    <t>运营收入-全年指标
（万元）</t>
  </si>
  <si>
    <t>运营收入-1-3月累计完成</t>
  </si>
  <si>
    <t>运营收入-时间进度完成率</t>
  </si>
  <si>
    <t>运营收入-时间进度</t>
  </si>
  <si>
    <t>运营收入-1季度指标（万元）</t>
  </si>
  <si>
    <t>运营收入-完成（万元）</t>
  </si>
  <si>
    <t>运营收入-得分</t>
  </si>
  <si>
    <t>自有品牌手机收入-全年指标
（万元）</t>
  </si>
  <si>
    <t>自有品牌手机收入-1-3月累计完成</t>
  </si>
  <si>
    <t>自有品牌手机收入-时间进度完成率</t>
  </si>
  <si>
    <t>自有品牌手机收入-时间进度</t>
  </si>
  <si>
    <t>自有品牌手机收入-1季度指标（万元）</t>
  </si>
  <si>
    <t>自有品牌手机收入-完成（万元）</t>
  </si>
  <si>
    <t>自有品牌手机收入-得分</t>
  </si>
  <si>
    <t>自有品牌智能硬件收入-全年指标（万元）</t>
  </si>
  <si>
    <t>自有品牌智能硬件收入-1-3月累计完成</t>
  </si>
  <si>
    <t>自有品牌智能硬件收入-时间进度完成率</t>
  </si>
  <si>
    <t>自有品牌智能硬件收入-时间进度</t>
  </si>
  <si>
    <t>自有品牌智能硬件收入-1季度指标（万元）</t>
  </si>
  <si>
    <t>自有品牌智能硬件收入-完成（万元）</t>
  </si>
  <si>
    <t>自有品牌智能硬件收入-得分</t>
  </si>
  <si>
    <t>非集团集采类别自有品牌智能硬件收入-全年指标（万元）</t>
  </si>
  <si>
    <t>非集团集采类别自有品牌智能硬件收入-1-3月累计完成</t>
  </si>
  <si>
    <t>非集团集采类别自有品牌智能硬件收入-时间进度完成率</t>
  </si>
  <si>
    <t>非集团集采类别自有品牌智能硬件收入-时间进度</t>
  </si>
  <si>
    <t>非集团集采类别自有品牌智能硬件收入-1季度指标（万元）</t>
  </si>
  <si>
    <t>非集团集采类别自有品牌智能硬件收入-完成（万元）</t>
  </si>
  <si>
    <t>非集团集采类别自有品牌智能硬件收入-得分</t>
  </si>
  <si>
    <t>重点产品</t>
  </si>
  <si>
    <t>重点产品得分</t>
  </si>
  <si>
    <t>优质客户目标值-全年目标值（个）</t>
  </si>
  <si>
    <t>优质客户目标值-1季度指标</t>
  </si>
  <si>
    <t>优质客户目标值-1季度完成</t>
  </si>
  <si>
    <t>优质客户目标值-1季度完成率</t>
  </si>
  <si>
    <t>优质客户目标值-1季度得分</t>
  </si>
  <si>
    <t>KA客户手机销量目标值-全年目标值（台）</t>
  </si>
  <si>
    <t>KA客户手机销量目标值-1季度指标</t>
  </si>
  <si>
    <t>KA客户手机销量目标值-1季度完成</t>
  </si>
  <si>
    <t>KA客户手机销量目标值-1季度完成率</t>
  </si>
  <si>
    <t>KA客户手机销量目标值-1季度得分</t>
  </si>
  <si>
    <t>铁通终端销量-全年（万台）</t>
  </si>
  <si>
    <t>铁通终端销量-1季度（万台）</t>
  </si>
  <si>
    <t>铁通终端销量-1季度完成</t>
  </si>
  <si>
    <t>铁通终端销量-1季度得分</t>
  </si>
  <si>
    <t>新零售厅店建设-厅店（个）</t>
  </si>
  <si>
    <t>新零售厅店建设-得分</t>
  </si>
  <si>
    <t>售后净利率-
年度指标</t>
  </si>
  <si>
    <t>售后净利率-1季度指标</t>
  </si>
  <si>
    <t>售后净利率-1季度完成</t>
  </si>
  <si>
    <t>售后净利率-1季度得分</t>
  </si>
  <si>
    <t>直接净利率-值</t>
  </si>
  <si>
    <t>直接净利率-1季度得分</t>
  </si>
  <si>
    <t>三个月以上应收账款占比-值</t>
  </si>
  <si>
    <t>三个月以上应收账款占比-1季度得分</t>
  </si>
  <si>
    <t>重大事项扣分项-值</t>
  </si>
  <si>
    <t>kpi直接总分（加总）-值</t>
  </si>
  <si>
    <t>1季度重点系数A（权重50%):自主品牌手机收入指标/万元-值</t>
  </si>
  <si>
    <t>1季度重点系数A完成率-值</t>
  </si>
  <si>
    <t>1季度重点系数B（权重50%):智能音箱发展目标/万台-值</t>
  </si>
  <si>
    <t>1季度重点系数B完成率-值</t>
  </si>
  <si>
    <t>完成率加总-值</t>
  </si>
  <si>
    <t>考虑重点系数后的KPI总分-值</t>
  </si>
  <si>
    <t>广州运营中心</t>
  </si>
  <si>
    <t>广州</t>
  </si>
  <si>
    <t>待发文后录入</t>
  </si>
  <si>
    <t>肇庆</t>
  </si>
  <si>
    <t>清远</t>
  </si>
  <si>
    <t>韶关</t>
  </si>
  <si>
    <t>云浮</t>
  </si>
  <si>
    <t>合计1</t>
  </si>
  <si>
    <t>深圳运营中心</t>
  </si>
  <si>
    <t>深圳</t>
  </si>
  <si>
    <t>汕头</t>
  </si>
  <si>
    <t>揭阳</t>
  </si>
  <si>
    <t>梅州</t>
  </si>
  <si>
    <t>潮州</t>
  </si>
  <si>
    <t>汕尾</t>
  </si>
  <si>
    <t>合计2</t>
  </si>
  <si>
    <t>东莞运营中心</t>
  </si>
  <si>
    <t>东莞</t>
  </si>
  <si>
    <t>中山</t>
  </si>
  <si>
    <t>惠州</t>
  </si>
  <si>
    <t>珠海</t>
  </si>
  <si>
    <t>河源</t>
  </si>
  <si>
    <t>合计3</t>
  </si>
  <si>
    <t>佛山运营中心</t>
  </si>
  <si>
    <t>佛山</t>
  </si>
  <si>
    <t>江门</t>
  </si>
  <si>
    <t>湛江</t>
  </si>
  <si>
    <t>茂名</t>
  </si>
  <si>
    <t>阳江</t>
  </si>
  <si>
    <t>合计4</t>
  </si>
  <si>
    <t>全省</t>
  </si>
  <si>
    <t>全省合计</t>
  </si>
  <si>
    <t>分值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</si>
</sst>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5" formatCode="&quot;￥&quot;#,##0;&quot;￥&quot;\-#,##0"/>
    <numFmt numFmtId="7" formatCode="&quot;￥&quot;#,##0.00;&quot;￥&quot;\-#,##0.00"/>
    <numFmt numFmtId="176" formatCode="0_ "/>
    <numFmt numFmtId="177" formatCode="0.00_);[Red]\(0.00\)"/>
    <numFmt numFmtId="178" formatCode="0.0%"/>
    <numFmt numFmtId="179" formatCode="0.00_ "/>
    <numFmt numFmtId="180" formatCode="0_);[Red]\(0\)"/>
    <numFmt numFmtId="181" formatCode="_ * #,##0_ ;_ * \-#,##0_ ;_ * &quot;-&quot;??_ ;_ @_ "/>
    <numFmt numFmtId="182" formatCode="0_ ;[Red]\-0\ "/>
  </numFmts>
  <fonts count="3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color theme="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4"/>
      <color rgb="FFFF0000"/>
      <name val="Calibri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1"/>
      <color theme="0"/>
      <name val="宋体"/>
      <charset val="134"/>
    </font>
    <font>
      <sz val="11"/>
      <color rgb="FF000000"/>
      <name val="Arial"/>
      <charset val="134"/>
    </font>
    <font>
      <sz val="12"/>
      <color theme="1"/>
      <name val="Calibri"/>
      <charset val="134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000000"/>
      <name val="宋体"/>
      <charset val="134"/>
    </font>
    <font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0"/>
      <color rgb="FF000000"/>
      <name val="Helv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50"/>
        <bgColor rgb="FFFFFFFF"/>
      </patternFill>
    </fill>
    <fill>
      <patternFill patternType="solid">
        <fgColor theme="0" tint="-0.14991"/>
        <bgColor theme="0" tint="-0.14991"/>
      </patternFill>
    </fill>
    <fill>
      <patternFill patternType="solid">
        <fgColor rgb="FFFFFFCC"/>
        <bgColor rgb="FFFFFFFF"/>
      </patternFill>
    </fill>
    <fill>
      <patternFill patternType="solid">
        <fgColor theme="5" tint="0.59999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theme="4" tint="0.79998"/>
        <bgColor rgb="FFFFFFFF"/>
      </patternFill>
    </fill>
    <fill>
      <patternFill patternType="solid">
        <fgColor theme="6" tint="0.79998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theme="8" tint="0.59999"/>
        <bgColor rgb="FFFFFFFF"/>
      </patternFill>
    </fill>
    <fill>
      <patternFill patternType="solid">
        <fgColor theme="6" tint="0.59999"/>
        <bgColor rgb="FFFFFFFF"/>
      </patternFill>
    </fill>
    <fill>
      <patternFill patternType="solid">
        <fgColor theme="8" tint="0.39998"/>
        <bgColor rgb="FFFFFFFF"/>
      </patternFill>
    </fill>
    <fill>
      <patternFill patternType="solid">
        <fgColor theme="6" tint="0.39998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theme="5" tint="0.39998"/>
        <bgColor rgb="FFFFFFFF"/>
      </patternFill>
    </fill>
    <fill>
      <patternFill patternType="solid">
        <fgColor rgb="FFA5A5A5"/>
        <bgColor rgb="FFFFFFFF"/>
      </patternFill>
    </fill>
    <fill>
      <patternFill patternType="solid">
        <fgColor theme="4" tint="0.39998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theme="7" tint="0.39998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theme="7" tint="0.79998"/>
        <bgColor rgb="FFFFFFFF"/>
      </patternFill>
    </fill>
    <fill>
      <patternFill patternType="solid">
        <fgColor theme="9" tint="0.79998"/>
        <bgColor rgb="FFFFFFFF"/>
      </patternFill>
    </fill>
    <fill>
      <patternFill patternType="solid">
        <fgColor theme="5"/>
        <bgColor rgb="FFFFFFFF"/>
      </patternFill>
    </fill>
    <fill>
      <patternFill patternType="solid">
        <fgColor theme="8" tint="0.79998"/>
        <bgColor rgb="FFFFFFFF"/>
      </patternFill>
    </fill>
    <fill>
      <patternFill patternType="solid">
        <fgColor theme="6"/>
        <bgColor rgb="FFFFFFFF"/>
      </patternFill>
    </fill>
    <fill>
      <patternFill patternType="solid">
        <fgColor theme="4"/>
        <bgColor rgb="FFFFFFFF"/>
      </patternFill>
    </fill>
    <fill>
      <patternFill patternType="solid">
        <fgColor theme="4" tint="0.59999"/>
        <bgColor rgb="FFFFFFFF"/>
      </patternFill>
    </fill>
    <fill>
      <patternFill patternType="solid">
        <fgColor theme="5" tint="0.79998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 tint="0.59999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theme="9" tint="0.59999"/>
        <bgColor rgb="FFFFFFFF"/>
      </patternFill>
    </fill>
    <fill>
      <patternFill patternType="solid">
        <fgColor theme="9" tint="0.39998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5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20" borderId="14" applyNumberFormat="0" applyAlignment="0" applyProtection="0">
      <alignment vertical="center"/>
    </xf>
    <xf numFmtId="0" fontId="32" fillId="20" borderId="7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3" fillId="0" borderId="0"/>
    <xf numFmtId="0" fontId="30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/>
  </cellStyleXfs>
  <cellXfs count="97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  <xf numFmtId="178" fontId="0" fillId="0" borderId="0" xfId="0" applyNumberFormat="1" applyAlignment="1"/>
    <xf numFmtId="177" fontId="0" fillId="0" borderId="0" xfId="0" applyNumberFormat="1" applyAlignment="1"/>
    <xf numFmtId="176" fontId="0" fillId="0" borderId="0" xfId="0" applyNumberFormat="1" applyAlignment="1"/>
    <xf numFmtId="43" fontId="0" fillId="0" borderId="0" xfId="8" applyAlignment="1"/>
    <xf numFmtId="10" fontId="0" fillId="0" borderId="0" xfId="0" applyNumberFormat="1" applyAlignment="1"/>
    <xf numFmtId="179" fontId="0" fillId="0" borderId="0" xfId="0" applyNumberFormat="1" applyAlignment="1"/>
    <xf numFmtId="0" fontId="2" fillId="2" borderId="1" xfId="50" applyNumberFormat="1" applyFont="1" applyFill="1" applyBorder="1" applyAlignment="1">
      <alignment vertical="center"/>
    </xf>
    <xf numFmtId="0" fontId="3" fillId="2" borderId="1" xfId="50" applyNumberFormat="1" applyFont="1" applyFill="1" applyBorder="1" applyAlignment="1">
      <alignment vertical="center" wrapText="1"/>
    </xf>
    <xf numFmtId="0" fontId="3" fillId="2" borderId="1" xfId="50" applyNumberFormat="1" applyFont="1" applyFill="1" applyBorder="1" applyAlignment="1">
      <alignment horizontal="center" vertical="center" wrapText="1"/>
    </xf>
    <xf numFmtId="0" fontId="4" fillId="0" borderId="2" xfId="50" applyFont="1" applyFill="1" applyBorder="1" applyAlignment="1">
      <alignment vertical="center"/>
    </xf>
    <xf numFmtId="0" fontId="4" fillId="0" borderId="3" xfId="5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79" fontId="5" fillId="0" borderId="3" xfId="0" applyNumberFormat="1" applyFont="1" applyFill="1" applyBorder="1" applyAlignment="1">
      <alignment horizontal="center" vertical="center"/>
    </xf>
    <xf numFmtId="0" fontId="4" fillId="0" borderId="4" xfId="50" applyFont="1" applyFill="1" applyBorder="1" applyAlignment="1">
      <alignment vertical="center"/>
    </xf>
    <xf numFmtId="0" fontId="4" fillId="0" borderId="1" xfId="5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79" fontId="5" fillId="0" borderId="1" xfId="0" applyNumberFormat="1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8" fillId="0" borderId="5" xfId="0" applyFont="1" applyBorder="1" applyAlignment="1"/>
    <xf numFmtId="176" fontId="9" fillId="0" borderId="5" xfId="0" applyNumberFormat="1" applyFont="1" applyBorder="1" applyAlignment="1">
      <alignment horizontal="center" vertical="center"/>
    </xf>
    <xf numFmtId="178" fontId="3" fillId="2" borderId="1" xfId="50" applyNumberFormat="1" applyFont="1" applyFill="1" applyBorder="1" applyAlignment="1">
      <alignment vertical="center" wrapText="1"/>
    </xf>
    <xf numFmtId="0" fontId="7" fillId="2" borderId="1" xfId="50" applyNumberFormat="1" applyFont="1" applyFill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76" fontId="3" fillId="2" borderId="1" xfId="50" applyNumberFormat="1" applyFont="1" applyFill="1" applyBorder="1" applyAlignment="1">
      <alignment vertical="center" wrapText="1"/>
    </xf>
    <xf numFmtId="43" fontId="5" fillId="0" borderId="3" xfId="8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43" fontId="5" fillId="0" borderId="1" xfId="8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8" fillId="0" borderId="5" xfId="0" applyNumberFormat="1" applyFont="1" applyBorder="1" applyAlignment="1"/>
    <xf numFmtId="1" fontId="9" fillId="0" borderId="5" xfId="0" applyNumberFormat="1" applyFont="1" applyBorder="1" applyAlignment="1">
      <alignment horizontal="center" vertical="center"/>
    </xf>
    <xf numFmtId="43" fontId="7" fillId="2" borderId="1" xfId="8" applyFont="1" applyFill="1" applyBorder="1" applyAlignment="1">
      <alignment horizontal="center" vertical="center" wrapText="1"/>
    </xf>
    <xf numFmtId="43" fontId="6" fillId="0" borderId="1" xfId="8" applyFont="1" applyBorder="1" applyAlignment="1">
      <alignment horizontal="center" vertical="center"/>
    </xf>
    <xf numFmtId="0" fontId="0" fillId="0" borderId="5" xfId="0" applyBorder="1" applyAlignment="1"/>
    <xf numFmtId="43" fontId="3" fillId="2" borderId="1" xfId="8" applyFont="1" applyFill="1" applyBorder="1" applyAlignment="1">
      <alignment vertical="center" wrapText="1"/>
    </xf>
    <xf numFmtId="179" fontId="7" fillId="2" borderId="1" xfId="50" applyNumberFormat="1" applyFont="1" applyFill="1" applyBorder="1" applyAlignment="1">
      <alignment vertical="center" wrapText="1"/>
    </xf>
    <xf numFmtId="43" fontId="5" fillId="0" borderId="3" xfId="8" applyFont="1" applyBorder="1" applyAlignment="1">
      <alignment horizontal="center" vertical="center"/>
    </xf>
    <xf numFmtId="9" fontId="5" fillId="0" borderId="2" xfId="11" applyNumberFormat="1" applyFont="1" applyFill="1" applyBorder="1" applyAlignment="1">
      <alignment vertical="center" wrapText="1"/>
    </xf>
    <xf numFmtId="43" fontId="10" fillId="0" borderId="5" xfId="11" applyNumberFormat="1" applyFont="1" applyBorder="1" applyAlignment="1">
      <alignment vertical="center"/>
    </xf>
    <xf numFmtId="43" fontId="5" fillId="0" borderId="1" xfId="8" applyFont="1" applyBorder="1" applyAlignment="1">
      <alignment horizontal="center" vertical="center"/>
    </xf>
    <xf numFmtId="43" fontId="10" fillId="0" borderId="5" xfId="11" applyNumberFormat="1" applyFont="1" applyBorder="1" applyAlignment="1">
      <alignment horizontal="center" vertical="center"/>
    </xf>
    <xf numFmtId="9" fontId="5" fillId="0" borderId="3" xfId="11" applyNumberFormat="1" applyFont="1" applyFill="1" applyBorder="1" applyAlignment="1">
      <alignment vertical="center" wrapText="1"/>
    </xf>
    <xf numFmtId="43" fontId="11" fillId="0" borderId="5" xfId="11" applyNumberFormat="1" applyFont="1" applyBorder="1" applyAlignment="1">
      <alignment horizontal="center" vertical="center"/>
    </xf>
    <xf numFmtId="0" fontId="7" fillId="2" borderId="1" xfId="50" applyNumberFormat="1" applyFont="1" applyFill="1" applyBorder="1" applyAlignment="1">
      <alignment vertical="center" wrapText="1"/>
    </xf>
    <xf numFmtId="10" fontId="7" fillId="2" borderId="1" xfId="50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43" fontId="5" fillId="0" borderId="3" xfId="8" applyFont="1" applyFill="1" applyBorder="1" applyAlignment="1">
      <alignment vertical="center"/>
    </xf>
    <xf numFmtId="179" fontId="5" fillId="0" borderId="3" xfId="8" applyNumberFormat="1" applyFont="1" applyFill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81" fontId="5" fillId="0" borderId="3" xfId="8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43" fontId="5" fillId="0" borderId="1" xfId="8" applyFont="1" applyFill="1" applyBorder="1" applyAlignment="1">
      <alignment vertical="center"/>
    </xf>
    <xf numFmtId="179" fontId="5" fillId="0" borderId="1" xfId="8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81" fontId="5" fillId="0" borderId="1" xfId="8" applyNumberFormat="1" applyFont="1" applyFill="1" applyBorder="1" applyAlignment="1">
      <alignment vertical="center"/>
    </xf>
    <xf numFmtId="176" fontId="7" fillId="2" borderId="1" xfId="50" applyNumberFormat="1" applyFont="1" applyFill="1" applyBorder="1" applyAlignment="1">
      <alignment vertical="center" wrapText="1"/>
    </xf>
    <xf numFmtId="0" fontId="12" fillId="2" borderId="1" xfId="50" applyNumberFormat="1" applyFont="1" applyFill="1" applyBorder="1" applyAlignment="1">
      <alignment vertical="center" wrapText="1"/>
    </xf>
    <xf numFmtId="179" fontId="5" fillId="0" borderId="3" xfId="0" applyNumberFormat="1" applyFont="1" applyBorder="1" applyAlignment="1">
      <alignment horizontal="center" vertical="center"/>
    </xf>
    <xf numFmtId="43" fontId="5" fillId="0" borderId="3" xfId="8" applyNumberFormat="1" applyFont="1" applyFill="1" applyBorder="1" applyAlignment="1">
      <alignment horizontal="left" vertical="center" wrapText="1"/>
    </xf>
    <xf numFmtId="179" fontId="5" fillId="0" borderId="1" xfId="0" applyNumberFormat="1" applyFont="1" applyBorder="1" applyAlignment="1">
      <alignment horizontal="center" vertical="center"/>
    </xf>
    <xf numFmtId="43" fontId="5" fillId="0" borderId="1" xfId="8" applyNumberFormat="1" applyFont="1" applyFill="1" applyBorder="1" applyAlignment="1">
      <alignment horizontal="left" vertical="center" wrapText="1"/>
    </xf>
    <xf numFmtId="176" fontId="9" fillId="0" borderId="5" xfId="0" applyNumberFormat="1" applyFont="1" applyBorder="1" applyAlignment="1">
      <alignment horizontal="center" vertical="center" wrapText="1"/>
    </xf>
    <xf numFmtId="179" fontId="5" fillId="0" borderId="3" xfId="8" applyNumberFormat="1" applyFont="1" applyFill="1" applyBorder="1" applyAlignment="1">
      <alignment vertical="center" wrapText="1"/>
    </xf>
    <xf numFmtId="0" fontId="4" fillId="0" borderId="3" xfId="50" applyFont="1" applyFill="1" applyBorder="1" applyAlignment="1">
      <alignment horizontal="center" vertical="center" wrapText="1"/>
    </xf>
    <xf numFmtId="9" fontId="4" fillId="0" borderId="3" xfId="50" applyNumberFormat="1" applyFont="1" applyFill="1" applyBorder="1" applyAlignment="1">
      <alignment vertical="center" wrapText="1"/>
    </xf>
    <xf numFmtId="10" fontId="4" fillId="0" borderId="3" xfId="50" applyNumberFormat="1" applyFont="1" applyFill="1" applyBorder="1" applyAlignment="1">
      <alignment horizontal="center" vertical="center" wrapText="1"/>
    </xf>
    <xf numFmtId="179" fontId="4" fillId="0" borderId="3" xfId="50" applyNumberFormat="1" applyFont="1" applyFill="1" applyBorder="1" applyAlignment="1">
      <alignment horizontal="center" vertical="center" wrapText="1"/>
    </xf>
    <xf numFmtId="179" fontId="5" fillId="0" borderId="1" xfId="8" applyNumberFormat="1" applyFont="1" applyFill="1" applyBorder="1" applyAlignment="1">
      <alignment vertical="center" wrapText="1"/>
    </xf>
    <xf numFmtId="0" fontId="4" fillId="0" borderId="1" xfId="50" applyFont="1" applyFill="1" applyBorder="1" applyAlignment="1">
      <alignment horizontal="center" vertical="center" wrapText="1"/>
    </xf>
    <xf numFmtId="9" fontId="4" fillId="0" borderId="1" xfId="50" applyNumberFormat="1" applyFont="1" applyFill="1" applyBorder="1" applyAlignment="1">
      <alignment vertical="center" wrapText="1"/>
    </xf>
    <xf numFmtId="10" fontId="4" fillId="0" borderId="1" xfId="50" applyNumberFormat="1" applyFont="1" applyFill="1" applyBorder="1" applyAlignment="1">
      <alignment horizontal="center" vertical="center" wrapText="1"/>
    </xf>
    <xf numFmtId="179" fontId="4" fillId="0" borderId="1" xfId="50" applyNumberFormat="1" applyFont="1" applyFill="1" applyBorder="1" applyAlignment="1">
      <alignment horizontal="center" vertical="center" wrapText="1"/>
    </xf>
    <xf numFmtId="9" fontId="4" fillId="0" borderId="1" xfId="50" applyNumberFormat="1" applyFont="1" applyFill="1" applyBorder="1" applyAlignment="1">
      <alignment horizontal="center" vertical="center" wrapText="1"/>
    </xf>
    <xf numFmtId="0" fontId="13" fillId="0" borderId="1" xfId="50" applyFill="1" applyBorder="1" applyAlignment="1">
      <alignment vertical="center"/>
    </xf>
    <xf numFmtId="179" fontId="8" fillId="0" borderId="5" xfId="0" applyNumberFormat="1" applyFont="1" applyBorder="1" applyAlignment="1"/>
    <xf numFmtId="10" fontId="8" fillId="0" borderId="5" xfId="0" applyNumberFormat="1" applyFont="1" applyBorder="1" applyAlignment="1"/>
    <xf numFmtId="0" fontId="3" fillId="2" borderId="1" xfId="50" applyNumberFormat="1" applyFont="1" applyFill="1" applyBorder="1" applyAlignment="1">
      <alignment vertical="center"/>
    </xf>
    <xf numFmtId="9" fontId="5" fillId="0" borderId="3" xfId="11" applyNumberFormat="1" applyFont="1" applyFill="1" applyBorder="1" applyAlignment="1">
      <alignment horizontal="center" vertical="center" wrapText="1"/>
    </xf>
    <xf numFmtId="179" fontId="0" fillId="0" borderId="3" xfId="0" applyNumberFormat="1" applyBorder="1" applyAlignment="1"/>
    <xf numFmtId="177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/>
    <xf numFmtId="179" fontId="0" fillId="0" borderId="1" xfId="0" applyNumberFormat="1" applyBorder="1" applyAlignment="1"/>
    <xf numFmtId="177" fontId="5" fillId="0" borderId="1" xfId="0" applyNumberFormat="1" applyFont="1" applyBorder="1" applyAlignment="1">
      <alignment horizontal="center" vertical="center"/>
    </xf>
    <xf numFmtId="9" fontId="14" fillId="0" borderId="1" xfId="11" applyFont="1" applyFill="1" applyBorder="1" applyAlignment="1">
      <alignment vertical="center"/>
    </xf>
    <xf numFmtId="182" fontId="5" fillId="0" borderId="1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样式 1 2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2 2 2 2 2" xfId="51"/>
    <cellStyle name="常规 3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9&#24180;&#22320;&#24066;KPI&#23395;&#23548;&#20837;&#27169;&#26495;&#65288;&#24494;&#35843;&#2925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自有品牌手机收入"/>
      <sheetName val="自有品牌智能硬件收入（已加配额制摊分）"/>
      <sheetName val="非配额自有品牌智能硬件收入"/>
      <sheetName val="重点产品"/>
      <sheetName val="渠道类指标"/>
    </sheetNames>
    <sheetDataSet>
      <sheetData sheetId="0"/>
      <sheetData sheetId="1">
        <row r="2">
          <cell r="F2">
            <v>0</v>
          </cell>
          <cell r="G2">
            <v>919710.36</v>
          </cell>
        </row>
        <row r="3">
          <cell r="F3">
            <v>0</v>
          </cell>
          <cell r="G3">
            <v>227408.7</v>
          </cell>
        </row>
        <row r="4">
          <cell r="F4">
            <v>0</v>
          </cell>
          <cell r="G4">
            <v>356946.75</v>
          </cell>
        </row>
        <row r="5">
          <cell r="F5">
            <v>0</v>
          </cell>
          <cell r="G5">
            <v>509687.54</v>
          </cell>
        </row>
        <row r="6">
          <cell r="F6">
            <v>0</v>
          </cell>
          <cell r="G6">
            <v>90067.24</v>
          </cell>
        </row>
        <row r="7">
          <cell r="F7">
            <v>0</v>
          </cell>
          <cell r="G7">
            <v>1068902.43</v>
          </cell>
        </row>
        <row r="8">
          <cell r="F8">
            <v>0</v>
          </cell>
          <cell r="G8">
            <v>479671.760000001</v>
          </cell>
        </row>
        <row r="9">
          <cell r="F9">
            <v>0</v>
          </cell>
          <cell r="G9">
            <v>649931.7</v>
          </cell>
        </row>
        <row r="10">
          <cell r="F10">
            <v>0</v>
          </cell>
          <cell r="G10">
            <v>1327650.17000001</v>
          </cell>
        </row>
        <row r="11">
          <cell r="F11">
            <v>0</v>
          </cell>
          <cell r="G11">
            <v>1231797.49</v>
          </cell>
        </row>
        <row r="12">
          <cell r="F12">
            <v>0</v>
          </cell>
          <cell r="G12">
            <v>1771463.61999998</v>
          </cell>
        </row>
        <row r="13">
          <cell r="F13">
            <v>0</v>
          </cell>
          <cell r="G13">
            <v>2752081.78000001</v>
          </cell>
        </row>
        <row r="14">
          <cell r="F14">
            <v>0</v>
          </cell>
          <cell r="G14">
            <v>239766.44</v>
          </cell>
        </row>
        <row r="15">
          <cell r="F15">
            <v>0</v>
          </cell>
          <cell r="G15">
            <v>558548.299999999</v>
          </cell>
        </row>
        <row r="16">
          <cell r="F16">
            <v>0</v>
          </cell>
          <cell r="G16">
            <v>249557.66</v>
          </cell>
        </row>
        <row r="17">
          <cell r="F17">
            <v>0</v>
          </cell>
          <cell r="G17">
            <v>1276337.9</v>
          </cell>
        </row>
        <row r="18">
          <cell r="F18">
            <v>0</v>
          </cell>
          <cell r="G18">
            <v>277812.48</v>
          </cell>
        </row>
        <row r="19">
          <cell r="F19">
            <v>0</v>
          </cell>
          <cell r="G19">
            <v>105826.06</v>
          </cell>
        </row>
        <row r="20">
          <cell r="F20">
            <v>0</v>
          </cell>
          <cell r="G20">
            <v>1312338.16000001</v>
          </cell>
        </row>
        <row r="21">
          <cell r="F21">
            <v>0</v>
          </cell>
          <cell r="G21">
            <v>263763.98</v>
          </cell>
        </row>
        <row r="22">
          <cell r="F22">
            <v>0</v>
          </cell>
          <cell r="G22">
            <v>39377.01</v>
          </cell>
        </row>
        <row r="23">
          <cell r="F23">
            <v>0</v>
          </cell>
          <cell r="G23">
            <v>15708647.53</v>
          </cell>
        </row>
      </sheetData>
      <sheetData sheetId="2">
        <row r="2">
          <cell r="H2">
            <v>0</v>
          </cell>
          <cell r="I2">
            <v>8508473.63517243</v>
          </cell>
        </row>
        <row r="3">
          <cell r="H3">
            <v>0</v>
          </cell>
          <cell r="I3">
            <v>26797864.0782759</v>
          </cell>
        </row>
        <row r="4">
          <cell r="H4">
            <v>0</v>
          </cell>
          <cell r="I4">
            <v>18451953.0262069</v>
          </cell>
        </row>
        <row r="5">
          <cell r="H5">
            <v>0</v>
          </cell>
          <cell r="I5">
            <v>35079184.1827586</v>
          </cell>
        </row>
        <row r="6">
          <cell r="H6">
            <v>0</v>
          </cell>
          <cell r="I6">
            <v>1976462.19172414</v>
          </cell>
        </row>
        <row r="7">
          <cell r="H7">
            <v>0</v>
          </cell>
          <cell r="I7">
            <v>18698368.9458621</v>
          </cell>
        </row>
        <row r="8">
          <cell r="H8">
            <v>0</v>
          </cell>
          <cell r="I8">
            <v>17365673.8427586</v>
          </cell>
        </row>
        <row r="9">
          <cell r="H9">
            <v>0</v>
          </cell>
          <cell r="I9">
            <v>17299065.2568966</v>
          </cell>
        </row>
        <row r="10">
          <cell r="H10">
            <v>0</v>
          </cell>
          <cell r="I10">
            <v>16736910.1203448</v>
          </cell>
        </row>
        <row r="11">
          <cell r="H11">
            <v>0</v>
          </cell>
          <cell r="I11">
            <v>10970641.3844828</v>
          </cell>
        </row>
        <row r="12">
          <cell r="H12">
            <v>0</v>
          </cell>
          <cell r="I12">
            <v>9866695.72379311</v>
          </cell>
        </row>
        <row r="13">
          <cell r="H13">
            <v>0</v>
          </cell>
          <cell r="I13">
            <v>22423934.6124138</v>
          </cell>
        </row>
        <row r="14">
          <cell r="H14">
            <v>0</v>
          </cell>
          <cell r="I14">
            <v>4537472.41517241</v>
          </cell>
        </row>
        <row r="15">
          <cell r="H15">
            <v>0</v>
          </cell>
          <cell r="I15">
            <v>11478147.8334483</v>
          </cell>
        </row>
        <row r="16">
          <cell r="H16">
            <v>0</v>
          </cell>
          <cell r="I16">
            <v>30977941.1268966</v>
          </cell>
        </row>
        <row r="17">
          <cell r="H17">
            <v>0</v>
          </cell>
          <cell r="I17">
            <v>5991364.61172414</v>
          </cell>
        </row>
        <row r="18">
          <cell r="H18">
            <v>0</v>
          </cell>
          <cell r="I18">
            <v>4777608.97793104</v>
          </cell>
        </row>
        <row r="19">
          <cell r="H19">
            <v>0</v>
          </cell>
          <cell r="I19">
            <v>23231477.8841379</v>
          </cell>
        </row>
        <row r="20">
          <cell r="H20">
            <v>0</v>
          </cell>
          <cell r="I20">
            <v>11852881.1406897</v>
          </cell>
        </row>
        <row r="21">
          <cell r="H21">
            <v>0</v>
          </cell>
          <cell r="I21">
            <v>3646707.69931035</v>
          </cell>
        </row>
        <row r="22">
          <cell r="H22">
            <v>0</v>
          </cell>
          <cell r="I22">
            <v>8079173.27965517</v>
          </cell>
        </row>
        <row r="23">
          <cell r="H23">
            <v>0</v>
          </cell>
          <cell r="I23">
            <v>308748001.969655</v>
          </cell>
        </row>
      </sheetData>
      <sheetData sheetId="3">
        <row r="2">
          <cell r="G2">
            <v>0</v>
          </cell>
          <cell r="H2">
            <v>1661283.98000002</v>
          </cell>
        </row>
        <row r="3">
          <cell r="G3">
            <v>0</v>
          </cell>
          <cell r="H3">
            <v>108085.63</v>
          </cell>
        </row>
        <row r="4">
          <cell r="G4">
            <v>0</v>
          </cell>
          <cell r="H4">
            <v>27875.4400000001</v>
          </cell>
        </row>
        <row r="5">
          <cell r="G5">
            <v>0</v>
          </cell>
          <cell r="H5">
            <v>150504.009999999</v>
          </cell>
        </row>
        <row r="6">
          <cell r="G6">
            <v>0</v>
          </cell>
          <cell r="H6">
            <v>358315.64</v>
          </cell>
        </row>
        <row r="7">
          <cell r="G7">
            <v>0</v>
          </cell>
          <cell r="H7">
            <v>430670.67</v>
          </cell>
        </row>
        <row r="8">
          <cell r="G8">
            <v>0</v>
          </cell>
          <cell r="H8">
            <v>1390679.36</v>
          </cell>
        </row>
        <row r="9">
          <cell r="G9">
            <v>0</v>
          </cell>
          <cell r="H9">
            <v>1055479.05</v>
          </cell>
        </row>
        <row r="10">
          <cell r="G10">
            <v>0</v>
          </cell>
          <cell r="H10">
            <v>50023.31</v>
          </cell>
        </row>
        <row r="11">
          <cell r="G11">
            <v>0</v>
          </cell>
          <cell r="H11">
            <v>257710.35</v>
          </cell>
        </row>
        <row r="12">
          <cell r="G12">
            <v>0</v>
          </cell>
          <cell r="H12">
            <v>649023.310000004</v>
          </cell>
        </row>
        <row r="13">
          <cell r="G13">
            <v>0</v>
          </cell>
          <cell r="H13">
            <v>1254279.44</v>
          </cell>
        </row>
        <row r="14">
          <cell r="G14">
            <v>0</v>
          </cell>
          <cell r="H14">
            <v>32.76</v>
          </cell>
        </row>
        <row r="15">
          <cell r="G15">
            <v>0</v>
          </cell>
          <cell r="H15">
            <v>176004.73</v>
          </cell>
        </row>
        <row r="16">
          <cell r="G16">
            <v>0</v>
          </cell>
          <cell r="H16">
            <v>186438.62</v>
          </cell>
        </row>
        <row r="17">
          <cell r="G17">
            <v>0</v>
          </cell>
          <cell r="H17">
            <v>31968.06</v>
          </cell>
        </row>
        <row r="18">
          <cell r="G18">
            <v>0</v>
          </cell>
          <cell r="H18">
            <v>490134.840000004</v>
          </cell>
        </row>
        <row r="19">
          <cell r="G19">
            <v>0</v>
          </cell>
          <cell r="H19">
            <v>1008676.16000001</v>
          </cell>
        </row>
        <row r="20">
          <cell r="G20">
            <v>0</v>
          </cell>
          <cell r="H20">
            <v>383447.52</v>
          </cell>
        </row>
        <row r="21">
          <cell r="G21">
            <v>0</v>
          </cell>
          <cell r="H21">
            <v>56966.32</v>
          </cell>
        </row>
        <row r="22">
          <cell r="G22">
            <v>0</v>
          </cell>
          <cell r="H22">
            <v>223052.59</v>
          </cell>
        </row>
        <row r="23">
          <cell r="G23">
            <v>0</v>
          </cell>
          <cell r="H23">
            <v>9950651.79000004</v>
          </cell>
        </row>
      </sheetData>
      <sheetData sheetId="4"/>
      <sheetData sheetId="5">
        <row r="2">
          <cell r="B2">
            <v>0</v>
          </cell>
          <cell r="C2">
            <v>40792</v>
          </cell>
          <cell r="D2">
            <v>71</v>
          </cell>
          <cell r="E2">
            <v>4553</v>
          </cell>
          <cell r="F2">
            <v>77</v>
          </cell>
        </row>
        <row r="3">
          <cell r="B3">
            <v>0</v>
          </cell>
          <cell r="C3">
            <v>6407</v>
          </cell>
          <cell r="D3">
            <v>10</v>
          </cell>
          <cell r="E3">
            <v>2509</v>
          </cell>
          <cell r="F3">
            <v>10</v>
          </cell>
        </row>
        <row r="4">
          <cell r="B4">
            <v>0</v>
          </cell>
          <cell r="C4">
            <v>5621</v>
          </cell>
          <cell r="D4">
            <v>10</v>
          </cell>
          <cell r="E4">
            <v>2075</v>
          </cell>
          <cell r="F4">
            <v>18</v>
          </cell>
        </row>
        <row r="5">
          <cell r="B5">
            <v>0</v>
          </cell>
          <cell r="C5">
            <v>6997</v>
          </cell>
          <cell r="D5">
            <v>17</v>
          </cell>
          <cell r="E5">
            <v>4572</v>
          </cell>
          <cell r="F5">
            <v>26</v>
          </cell>
        </row>
        <row r="6">
          <cell r="B6">
            <v>0</v>
          </cell>
          <cell r="C6">
            <v>1338</v>
          </cell>
          <cell r="D6">
            <v>12</v>
          </cell>
          <cell r="E6">
            <v>2432</v>
          </cell>
          <cell r="F6">
            <v>8</v>
          </cell>
        </row>
        <row r="7">
          <cell r="B7">
            <v>0</v>
          </cell>
          <cell r="C7">
            <v>69423</v>
          </cell>
          <cell r="D7">
            <v>62</v>
          </cell>
          <cell r="E7">
            <v>5909</v>
          </cell>
          <cell r="F7">
            <v>82</v>
          </cell>
        </row>
        <row r="8">
          <cell r="B8">
            <v>0</v>
          </cell>
          <cell r="C8">
            <v>5860</v>
          </cell>
          <cell r="D8">
            <v>33</v>
          </cell>
          <cell r="E8">
            <v>2222</v>
          </cell>
          <cell r="F8">
            <v>42</v>
          </cell>
        </row>
        <row r="9">
          <cell r="B9">
            <v>0</v>
          </cell>
          <cell r="C9">
            <v>1161</v>
          </cell>
          <cell r="D9">
            <v>14</v>
          </cell>
          <cell r="E9">
            <v>1744</v>
          </cell>
          <cell r="F9">
            <v>13</v>
          </cell>
        </row>
        <row r="10">
          <cell r="B10">
            <v>0</v>
          </cell>
          <cell r="C10">
            <v>5101</v>
          </cell>
          <cell r="D10">
            <v>31</v>
          </cell>
          <cell r="E10">
            <v>16686</v>
          </cell>
          <cell r="F10">
            <v>35</v>
          </cell>
        </row>
        <row r="11">
          <cell r="B11">
            <v>0</v>
          </cell>
          <cell r="C11">
            <v>7516</v>
          </cell>
          <cell r="D11">
            <v>15</v>
          </cell>
          <cell r="E11">
            <v>6756</v>
          </cell>
          <cell r="F11">
            <v>17</v>
          </cell>
        </row>
        <row r="12">
          <cell r="B12">
            <v>0</v>
          </cell>
          <cell r="C12">
            <v>592</v>
          </cell>
          <cell r="D12">
            <v>10</v>
          </cell>
          <cell r="E12">
            <v>58</v>
          </cell>
          <cell r="F12">
            <v>12</v>
          </cell>
        </row>
        <row r="13">
          <cell r="B13">
            <v>0</v>
          </cell>
          <cell r="C13">
            <v>56733</v>
          </cell>
          <cell r="D13">
            <v>49</v>
          </cell>
          <cell r="E13">
            <v>8192</v>
          </cell>
          <cell r="F13">
            <v>131</v>
          </cell>
        </row>
        <row r="14">
          <cell r="B14">
            <v>0</v>
          </cell>
          <cell r="C14">
            <v>13432</v>
          </cell>
          <cell r="D14">
            <v>23</v>
          </cell>
          <cell r="E14">
            <v>9234</v>
          </cell>
          <cell r="F14">
            <v>39</v>
          </cell>
        </row>
        <row r="15">
          <cell r="B15">
            <v>0</v>
          </cell>
          <cell r="C15">
            <v>6715</v>
          </cell>
          <cell r="D15">
            <v>57</v>
          </cell>
          <cell r="E15">
            <v>7441</v>
          </cell>
          <cell r="F15">
            <v>113</v>
          </cell>
        </row>
        <row r="16">
          <cell r="B16">
            <v>0</v>
          </cell>
          <cell r="C16">
            <v>7986</v>
          </cell>
          <cell r="D16">
            <v>24</v>
          </cell>
          <cell r="E16">
            <v>8383</v>
          </cell>
          <cell r="F16">
            <v>28</v>
          </cell>
        </row>
        <row r="17">
          <cell r="B17">
            <v>0</v>
          </cell>
          <cell r="C17">
            <v>4369</v>
          </cell>
          <cell r="D17">
            <v>20</v>
          </cell>
          <cell r="E17">
            <v>1779</v>
          </cell>
          <cell r="F17">
            <v>46</v>
          </cell>
        </row>
        <row r="18">
          <cell r="B18">
            <v>0</v>
          </cell>
          <cell r="C18">
            <v>14117</v>
          </cell>
          <cell r="D18">
            <v>23</v>
          </cell>
          <cell r="E18">
            <v>24049</v>
          </cell>
          <cell r="F18">
            <v>38</v>
          </cell>
        </row>
        <row r="19">
          <cell r="B19">
            <v>0</v>
          </cell>
          <cell r="C19">
            <v>5139</v>
          </cell>
          <cell r="D19">
            <v>24</v>
          </cell>
          <cell r="E19">
            <v>5178</v>
          </cell>
          <cell r="F19">
            <v>30</v>
          </cell>
        </row>
        <row r="20">
          <cell r="B20">
            <v>0</v>
          </cell>
          <cell r="C20">
            <v>7984</v>
          </cell>
          <cell r="D20">
            <v>20</v>
          </cell>
          <cell r="E20">
            <v>3066</v>
          </cell>
          <cell r="F20">
            <v>33</v>
          </cell>
        </row>
        <row r="21">
          <cell r="B21">
            <v>0</v>
          </cell>
          <cell r="C21">
            <v>2931</v>
          </cell>
          <cell r="D21">
            <v>10</v>
          </cell>
          <cell r="E21">
            <v>5151</v>
          </cell>
          <cell r="F21">
            <v>12</v>
          </cell>
        </row>
        <row r="22">
          <cell r="B22">
            <v>0</v>
          </cell>
          <cell r="C22">
            <v>2891</v>
          </cell>
          <cell r="D22">
            <v>16</v>
          </cell>
          <cell r="E22">
            <v>1886</v>
          </cell>
          <cell r="F22">
            <v>19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29"/>
  <sheetViews>
    <sheetView tabSelected="1" topLeftCell="AZ4" workbookViewId="0">
      <selection activeCell="BH33" sqref="BH33"/>
    </sheetView>
  </sheetViews>
  <sheetFormatPr defaultColWidth="9" defaultRowHeight="13.5"/>
  <cols>
    <col min="1" max="1" width="10.6916666666667" style="3" customWidth="1"/>
    <col min="2" max="2" width="9.55833333333333" style="3" customWidth="1"/>
    <col min="3" max="8" width="10.3166666666667" style="3" customWidth="1"/>
    <col min="9" max="10" width="9.55833333333333" style="3" customWidth="1"/>
    <col min="11" max="11" width="9.05833333333333" style="3" customWidth="1"/>
    <col min="12" max="12" width="9.05833333333333" style="4" customWidth="1"/>
    <col min="13" max="15" width="9.05833333333333" style="3" customWidth="1"/>
    <col min="16" max="16" width="9.05833333333333" style="5" customWidth="1"/>
    <col min="17" max="18" width="10.9416666666667" style="6" customWidth="1"/>
    <col min="19" max="19" width="15.2166666666667" style="4" customWidth="1"/>
    <col min="20" max="20" width="10.9416666666667" style="4" customWidth="1"/>
    <col min="21" max="22" width="9.68333333333333" style="6" customWidth="1"/>
    <col min="23" max="23" width="9.68333333333333" style="4" customWidth="1"/>
    <col min="24" max="24" width="9.93333333333333" style="3" customWidth="1"/>
    <col min="25" max="25" width="10.8166666666667" style="3" customWidth="1"/>
    <col min="26" max="26" width="10.8166666666667" style="4" customWidth="1"/>
    <col min="27" max="27" width="9.43333333333333" style="4" customWidth="1"/>
    <col min="28" max="28" width="10.9416666666667" style="3" customWidth="1"/>
    <col min="29" max="29" width="9.55833333333333" style="3" customWidth="1"/>
    <col min="30" max="30" width="9.55833333333333" style="4" customWidth="1"/>
    <col min="31" max="31" width="10.3166666666667" style="7" customWidth="1"/>
    <col min="32" max="32" width="9.30833333333333" style="3" customWidth="1"/>
    <col min="33" max="34" width="9.55833333333333" style="7" customWidth="1"/>
    <col min="35" max="35" width="11.575" style="3" customWidth="1"/>
    <col min="36" max="36" width="12.575" style="3" customWidth="1"/>
    <col min="37" max="37" width="8.05" style="4" customWidth="1"/>
    <col min="38" max="38" width="10.1916666666667" style="3" customWidth="1"/>
    <col min="39" max="39" width="11.575" style="3" customWidth="1"/>
    <col min="40" max="40" width="15.0916666666667" style="3" customWidth="1"/>
    <col min="41" max="41" width="12.9583333333333" style="3" customWidth="1"/>
    <col min="42" max="42" width="10.1916666666667" style="3" customWidth="1"/>
    <col min="43" max="43" width="10.1916666666667" style="8" customWidth="1"/>
    <col min="44" max="44" width="10.1916666666667" style="9" customWidth="1"/>
    <col min="45" max="45" width="17.225" style="3" customWidth="1"/>
    <col min="46" max="46" width="13.3333333333333" style="3" customWidth="1"/>
    <col min="47" max="48" width="9.80833333333333" style="3" customWidth="1"/>
    <col min="49" max="49" width="9.18333333333333" style="3" customWidth="1"/>
    <col min="50" max="50" width="15.975" style="6" customWidth="1"/>
    <col min="51" max="51" width="17.8583333333333" style="6" customWidth="1"/>
    <col min="52" max="53" width="13.8333333333333" style="6" customWidth="1"/>
    <col min="54" max="54" width="14.4666666666667" style="6" customWidth="1"/>
    <col min="55" max="55" width="10.3166666666667" style="3" customWidth="1"/>
    <col min="56" max="56" width="12.325" style="3" customWidth="1"/>
    <col min="57" max="57" width="11.4416666666667" style="9" customWidth="1"/>
    <col min="58" max="59" width="10.4416666666667" style="9" customWidth="1"/>
    <col min="60" max="60" width="9.30833333333333" style="9" customWidth="1"/>
    <col min="61" max="61" width="11.95" style="3" customWidth="1"/>
    <col min="62" max="62" width="12.825" style="3" customWidth="1"/>
    <col min="63" max="63" width="12.825" style="8" customWidth="1"/>
    <col min="64" max="64" width="19.2416666666667" style="9" customWidth="1"/>
    <col min="65" max="65" width="17.3583333333333" style="3" customWidth="1"/>
    <col min="66" max="66" width="9.05833333333333" style="9" customWidth="1"/>
    <col min="67" max="67" width="17.8583333333333" style="3" customWidth="1"/>
    <col min="68" max="68" width="9.05833333333333" style="3" customWidth="1"/>
    <col min="69" max="70" width="12.325" style="3" customWidth="1"/>
    <col min="71" max="71" width="9.05833333333333" style="3" customWidth="1"/>
    <col min="72" max="72" width="11.95" style="3" customWidth="1"/>
    <col min="73" max="16384" width="9.05833333333333" style="3" customWidth="1"/>
  </cols>
  <sheetData>
    <row r="1" s="1" customFormat="1" ht="24" customHeight="1" spans="1:72">
      <c r="A1" s="10" t="s">
        <v>0</v>
      </c>
      <c r="B1" s="10"/>
      <c r="C1" s="10" t="s">
        <v>1</v>
      </c>
      <c r="D1" s="10"/>
      <c r="E1" s="10"/>
      <c r="F1" s="10"/>
      <c r="G1" s="10"/>
      <c r="H1" s="10"/>
      <c r="I1" s="10"/>
      <c r="J1" s="10"/>
      <c r="K1" s="10" t="s">
        <v>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 t="s">
        <v>3</v>
      </c>
      <c r="AN1" s="10"/>
      <c r="AO1" s="10" t="s">
        <v>4</v>
      </c>
      <c r="AP1" s="10"/>
      <c r="AQ1" s="10"/>
      <c r="AR1" s="10"/>
      <c r="AS1" s="10"/>
      <c r="AT1" s="10"/>
      <c r="AU1" s="10"/>
      <c r="AV1" s="10"/>
      <c r="AW1" s="10"/>
      <c r="AX1" s="10"/>
      <c r="AY1" s="10" t="s">
        <v>5</v>
      </c>
      <c r="AZ1" s="10"/>
      <c r="BA1" s="10"/>
      <c r="BB1" s="10"/>
      <c r="BC1" s="10" t="s">
        <v>6</v>
      </c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87" t="s">
        <v>7</v>
      </c>
      <c r="BO1" s="87" t="s">
        <v>8</v>
      </c>
      <c r="BP1" s="87"/>
      <c r="BQ1" s="87"/>
      <c r="BR1" s="87"/>
      <c r="BS1" s="87"/>
      <c r="BT1" s="87" t="s">
        <v>9</v>
      </c>
    </row>
    <row r="2" s="2" customFormat="1" ht="54" customHeight="1" spans="1:72">
      <c r="A2" s="11" t="s">
        <v>10</v>
      </c>
      <c r="B2" s="11" t="s">
        <v>11</v>
      </c>
      <c r="C2" s="11" t="s">
        <v>12</v>
      </c>
      <c r="D2" s="12" t="s">
        <v>13</v>
      </c>
      <c r="E2" s="12" t="s">
        <v>14</v>
      </c>
      <c r="F2" s="12" t="s">
        <v>15</v>
      </c>
      <c r="G2" s="11" t="s">
        <v>16</v>
      </c>
      <c r="H2" s="12" t="s">
        <v>17</v>
      </c>
      <c r="I2" s="12" t="s">
        <v>18</v>
      </c>
      <c r="J2" s="12" t="s">
        <v>19</v>
      </c>
      <c r="K2" s="11" t="s">
        <v>20</v>
      </c>
      <c r="L2" s="11" t="s">
        <v>21</v>
      </c>
      <c r="M2" s="26" t="s">
        <v>22</v>
      </c>
      <c r="N2" s="26" t="s">
        <v>23</v>
      </c>
      <c r="O2" s="27" t="s">
        <v>24</v>
      </c>
      <c r="P2" s="27" t="s">
        <v>25</v>
      </c>
      <c r="Q2" s="27" t="s">
        <v>26</v>
      </c>
      <c r="R2" s="35" t="s">
        <v>27</v>
      </c>
      <c r="S2" s="11" t="s">
        <v>28</v>
      </c>
      <c r="T2" s="26" t="s">
        <v>29</v>
      </c>
      <c r="U2" s="26" t="s">
        <v>30</v>
      </c>
      <c r="V2" s="27" t="s">
        <v>31</v>
      </c>
      <c r="W2" s="27" t="s">
        <v>32</v>
      </c>
      <c r="X2" s="27" t="s">
        <v>33</v>
      </c>
      <c r="Y2" s="11" t="s">
        <v>34</v>
      </c>
      <c r="Z2" s="11" t="s">
        <v>35</v>
      </c>
      <c r="AA2" s="26" t="s">
        <v>36</v>
      </c>
      <c r="AB2" s="26" t="s">
        <v>37</v>
      </c>
      <c r="AC2" s="27" t="s">
        <v>38</v>
      </c>
      <c r="AD2" s="27" t="s">
        <v>39</v>
      </c>
      <c r="AE2" s="42" t="s">
        <v>40</v>
      </c>
      <c r="AF2" s="11" t="s">
        <v>41</v>
      </c>
      <c r="AG2" s="45" t="s">
        <v>42</v>
      </c>
      <c r="AH2" s="45" t="s">
        <v>43</v>
      </c>
      <c r="AI2" s="26" t="s">
        <v>44</v>
      </c>
      <c r="AJ2" s="27" t="s">
        <v>45</v>
      </c>
      <c r="AK2" s="27" t="s">
        <v>46</v>
      </c>
      <c r="AL2" s="27" t="s">
        <v>47</v>
      </c>
      <c r="AM2" s="11" t="s">
        <v>48</v>
      </c>
      <c r="AN2" s="46" t="s">
        <v>49</v>
      </c>
      <c r="AO2" s="54" t="s">
        <v>50</v>
      </c>
      <c r="AP2" s="54" t="s">
        <v>51</v>
      </c>
      <c r="AQ2" s="54" t="s">
        <v>52</v>
      </c>
      <c r="AR2" s="55" t="s">
        <v>53</v>
      </c>
      <c r="AS2" s="46" t="s">
        <v>54</v>
      </c>
      <c r="AT2" s="54" t="s">
        <v>55</v>
      </c>
      <c r="AU2" s="54" t="s">
        <v>56</v>
      </c>
      <c r="AV2" s="54" t="s">
        <v>57</v>
      </c>
      <c r="AW2" s="55" t="s">
        <v>58</v>
      </c>
      <c r="AX2" s="46" t="s">
        <v>59</v>
      </c>
      <c r="AY2" s="66" t="s">
        <v>60</v>
      </c>
      <c r="AZ2" s="66" t="s">
        <v>61</v>
      </c>
      <c r="BA2" s="66" t="s">
        <v>62</v>
      </c>
      <c r="BB2" s="66" t="s">
        <v>63</v>
      </c>
      <c r="BC2" s="67" t="s">
        <v>64</v>
      </c>
      <c r="BD2" s="46" t="s">
        <v>65</v>
      </c>
      <c r="BE2" s="67" t="s">
        <v>66</v>
      </c>
      <c r="BF2" s="46" t="s">
        <v>67</v>
      </c>
      <c r="BG2" s="46" t="s">
        <v>68</v>
      </c>
      <c r="BH2" s="46" t="s">
        <v>69</v>
      </c>
      <c r="BI2" s="67" t="s">
        <v>70</v>
      </c>
      <c r="BJ2" s="46" t="s">
        <v>71</v>
      </c>
      <c r="BK2" s="54" t="s">
        <v>72</v>
      </c>
      <c r="BL2" s="55" t="s">
        <v>73</v>
      </c>
      <c r="BM2" s="11" t="s">
        <v>74</v>
      </c>
      <c r="BN2" s="11" t="s">
        <v>75</v>
      </c>
      <c r="BO2" s="11" t="s">
        <v>76</v>
      </c>
      <c r="BP2" s="11" t="s">
        <v>77</v>
      </c>
      <c r="BQ2" s="11" t="s">
        <v>78</v>
      </c>
      <c r="BR2" s="11" t="s">
        <v>79</v>
      </c>
      <c r="BS2" s="11" t="s">
        <v>80</v>
      </c>
      <c r="BT2" s="11" t="s">
        <v>81</v>
      </c>
    </row>
    <row r="3" customHeight="1" spans="1:72">
      <c r="A3" s="13" t="s">
        <v>82</v>
      </c>
      <c r="B3" s="14" t="s">
        <v>83</v>
      </c>
      <c r="C3" s="15">
        <v>0.048</v>
      </c>
      <c r="D3" s="14"/>
      <c r="E3" s="14">
        <f t="shared" ref="E3:E28" si="0">D3/C3</f>
        <v>0</v>
      </c>
      <c r="F3" s="16">
        <f t="shared" ref="F3:F28" si="1">MIN(10,IF(E3&gt;=0.6,E3*10,0))</f>
        <v>0</v>
      </c>
      <c r="G3" s="15">
        <v>0.02</v>
      </c>
      <c r="H3" s="14"/>
      <c r="I3" s="14">
        <f t="shared" ref="I3:I28" si="2">H3/G3</f>
        <v>0</v>
      </c>
      <c r="J3" s="16">
        <f t="shared" ref="J3:J28" si="3">MIN(10,IF(I3&gt;=0.6,I3*10,0))</f>
        <v>0</v>
      </c>
      <c r="K3" s="28">
        <v>121903.759421401</v>
      </c>
      <c r="L3" s="29"/>
      <c r="M3" s="16">
        <f t="shared" ref="M3:M28" si="4">L3/(K3*90/365)</f>
        <v>0</v>
      </c>
      <c r="N3" s="29">
        <f t="shared" ref="N3:N28" si="5">L3/K3-90/365</f>
        <v>-0.246575342465753</v>
      </c>
      <c r="O3" s="28">
        <v>42666.3157974902</v>
      </c>
      <c r="P3" s="30"/>
      <c r="Q3" s="30">
        <f>MIN(15,IF(P3/O3&lt;0.6,0,P3/O3*15))</f>
        <v>0</v>
      </c>
      <c r="R3" s="28">
        <v>1711.04824582405</v>
      </c>
      <c r="S3" s="36">
        <f>VLOOKUP(B3,[1]自有品牌手机收入!$F$2:$G$23,2,0)/10000</f>
        <v>50.968754</v>
      </c>
      <c r="T3" s="16">
        <f t="shared" ref="T3:T28" si="6">S3/(R3*90/365)</f>
        <v>0.120807004682029</v>
      </c>
      <c r="U3" s="29">
        <f t="shared" ref="U3:U28" si="7">S3/R3-90/365</f>
        <v>-0.21678731391402</v>
      </c>
      <c r="V3" s="37">
        <v>598.866886038419</v>
      </c>
      <c r="W3" s="30">
        <f t="shared" ref="W3:W28" si="8">S3</f>
        <v>50.968754</v>
      </c>
      <c r="X3" s="30">
        <f t="shared" ref="X3:X27" si="9">MIN(15,IF(W3/V3&lt;0.6,0,W3/V3*15))</f>
        <v>0</v>
      </c>
      <c r="Y3" s="28">
        <v>8495.15767240569</v>
      </c>
      <c r="Z3" s="36">
        <f>VLOOKUP(B3,'[1]自有品牌智能硬件收入（已加配额制摊分）'!$H$2:$I$23,2,0)/10000</f>
        <v>3507.91841827586</v>
      </c>
      <c r="AA3" s="16">
        <f t="shared" ref="AA3:AA28" si="10">Z3/(Y3*90/365)</f>
        <v>1.67466674290056</v>
      </c>
      <c r="AB3" s="29">
        <f t="shared" ref="AB3:AB28" si="11">Z3/Y3-90/365</f>
        <v>0.16635618318096</v>
      </c>
      <c r="AC3" s="28">
        <v>2973.30518534199</v>
      </c>
      <c r="AD3" s="30">
        <f t="shared" ref="AD3:AD28" si="12">Z3</f>
        <v>3507.91841827586</v>
      </c>
      <c r="AE3" s="36">
        <f t="shared" ref="AE3:AE27" si="13">MIN(10,IF(AD3/AC3&lt;0.6,0,AD3/AC3*10))</f>
        <v>10</v>
      </c>
      <c r="AF3" s="28">
        <v>1665.30001055106</v>
      </c>
      <c r="AG3" s="36">
        <f>VLOOKUP(B3,[1]非配额自有品牌智能硬件收入!$G$2:$H$23,2,0)/10000</f>
        <v>15.0504009999999</v>
      </c>
      <c r="AH3" s="36">
        <f t="shared" ref="AH3:AH28" si="14">AG3/(AF3*90/365)</f>
        <v>0.0366526974131772</v>
      </c>
      <c r="AI3" s="29">
        <f t="shared" ref="AI3:AI28" si="15">AG3/AF3-90/365</f>
        <v>-0.237537691048806</v>
      </c>
      <c r="AJ3" s="47">
        <v>582.85500369287</v>
      </c>
      <c r="AK3" s="36">
        <f t="shared" ref="AK3:AK28" si="16">AG3</f>
        <v>15.0504009999999</v>
      </c>
      <c r="AL3" s="36">
        <f t="shared" ref="AL3:AL27" si="17">MIN(10,IF(AK3/AJ3&lt;0.6,0,AK3/AJ3*10))</f>
        <v>0</v>
      </c>
      <c r="AM3" s="48" t="s">
        <v>84</v>
      </c>
      <c r="AN3" s="49">
        <v>2.01261827432261</v>
      </c>
      <c r="AO3" s="56">
        <v>71</v>
      </c>
      <c r="AP3" s="56">
        <v>71</v>
      </c>
      <c r="AQ3" s="57">
        <f>VLOOKUP(B3,[1]渠道类指标!$B$2:$F$22,5,0)</f>
        <v>77</v>
      </c>
      <c r="AR3" s="58">
        <f t="shared" ref="AR3:AR28" si="18">AQ3/AP3</f>
        <v>1.08450704225352</v>
      </c>
      <c r="AS3" s="16">
        <f t="shared" ref="AS3:AS28" si="19">MIN(8,IF(AR3&gt;=0.8,AR3*8,0))</f>
        <v>8</v>
      </c>
      <c r="AT3" s="59">
        <v>116549.3176</v>
      </c>
      <c r="AU3" s="59">
        <v>40792</v>
      </c>
      <c r="AV3" s="60">
        <f>VLOOKUP(B3,[1]渠道类指标!$B$2:$F$22,4,0)</f>
        <v>4553</v>
      </c>
      <c r="AW3" s="58">
        <f t="shared" ref="AW3:AW28" si="20">AV3/AU3</f>
        <v>0.111615022553442</v>
      </c>
      <c r="AX3" s="16">
        <f t="shared" ref="AX3:AX28" si="21">MIN(8,IF(AW3&gt;=0.8,AW3*8,0))</f>
        <v>0</v>
      </c>
      <c r="AY3" s="68">
        <v>2.58</v>
      </c>
      <c r="AZ3" s="68">
        <v>0.774</v>
      </c>
      <c r="BA3" s="68"/>
      <c r="BB3" s="30">
        <f t="shared" ref="BB3:BB28" si="22">MIN(5,IF(BA3/AZ3&lt;0.6,0,BA3/AZ3*5))</f>
        <v>0</v>
      </c>
      <c r="BC3" s="69"/>
      <c r="BD3" s="30">
        <f t="shared" ref="BD3:BD28" si="23">MIN(5,BC3*2)</f>
        <v>0</v>
      </c>
      <c r="BE3" s="15">
        <v>0.025</v>
      </c>
      <c r="BF3" s="15">
        <v>0.025</v>
      </c>
      <c r="BG3" s="73"/>
      <c r="BH3" s="30">
        <f t="shared" ref="BH3:BH28" si="24">MIN(3,IF(BG3/BF3&lt;0.6,0,BG3/BF3*3))</f>
        <v>0</v>
      </c>
      <c r="BI3" s="74">
        <f t="shared" ref="BI3:BI28" si="25">H3</f>
        <v>0</v>
      </c>
      <c r="BJ3" s="75"/>
      <c r="BK3" s="76"/>
      <c r="BL3" s="77"/>
      <c r="BM3" s="88"/>
      <c r="BN3" s="89"/>
      <c r="BO3" s="90">
        <v>598.866886038419</v>
      </c>
      <c r="BP3" s="91"/>
      <c r="BQ3" s="90">
        <v>4.69</v>
      </c>
      <c r="BR3" s="91"/>
      <c r="BS3" s="91"/>
      <c r="BT3" s="91"/>
    </row>
    <row r="4" spans="1:72">
      <c r="A4" s="17" t="s">
        <v>82</v>
      </c>
      <c r="B4" s="18" t="s">
        <v>85</v>
      </c>
      <c r="C4" s="19">
        <v>0.048</v>
      </c>
      <c r="D4" s="18"/>
      <c r="E4" s="18">
        <f t="shared" si="0"/>
        <v>0</v>
      </c>
      <c r="F4" s="20">
        <f t="shared" si="1"/>
        <v>0</v>
      </c>
      <c r="G4" s="19">
        <v>0.02</v>
      </c>
      <c r="H4" s="18"/>
      <c r="I4" s="18">
        <f t="shared" si="2"/>
        <v>0</v>
      </c>
      <c r="J4" s="20">
        <f t="shared" si="3"/>
        <v>0</v>
      </c>
      <c r="K4" s="31">
        <v>6758.35241755589</v>
      </c>
      <c r="L4" s="32"/>
      <c r="M4" s="20">
        <f t="shared" si="4"/>
        <v>0</v>
      </c>
      <c r="N4" s="32">
        <f t="shared" si="5"/>
        <v>-0.246575342465753</v>
      </c>
      <c r="O4" s="31">
        <v>2365.42334614456</v>
      </c>
      <c r="P4" s="33"/>
      <c r="Q4" s="33">
        <f>MIN(15,IF(P4/O4&lt;0.6,0,P4/O4*15))</f>
        <v>0</v>
      </c>
      <c r="R4" s="31">
        <v>549.925739701707</v>
      </c>
      <c r="S4" s="38">
        <f>VLOOKUP(B4,[1]自有品牌手机收入!$F$2:$G$23,2,0)/10000</f>
        <v>131.233816000001</v>
      </c>
      <c r="T4" s="20">
        <f t="shared" si="6"/>
        <v>0.967814366798415</v>
      </c>
      <c r="U4" s="32">
        <f t="shared" si="7"/>
        <v>-0.00793618352915787</v>
      </c>
      <c r="V4" s="39">
        <v>192.474008895598</v>
      </c>
      <c r="W4" s="33">
        <f t="shared" si="8"/>
        <v>131.233816000001</v>
      </c>
      <c r="X4" s="33">
        <f t="shared" si="9"/>
        <v>10.2273925258541</v>
      </c>
      <c r="Y4" s="31">
        <v>2027.83591851627</v>
      </c>
      <c r="Z4" s="38">
        <f>VLOOKUP(B4,'[1]自有品牌智能硬件收入（已加配额制摊分）'!$H$2:$I$23,2,0)/10000</f>
        <v>1185.28811406897</v>
      </c>
      <c r="AA4" s="20">
        <f t="shared" si="10"/>
        <v>2.37050826058133</v>
      </c>
      <c r="AB4" s="32">
        <f t="shared" si="11"/>
        <v>0.337933543704986</v>
      </c>
      <c r="AC4" s="31">
        <v>709.742571480695</v>
      </c>
      <c r="AD4" s="33">
        <f t="shared" si="12"/>
        <v>1185.28811406897</v>
      </c>
      <c r="AE4" s="38">
        <f t="shared" si="13"/>
        <v>10</v>
      </c>
      <c r="AF4" s="31">
        <v>314.882926464922</v>
      </c>
      <c r="AG4" s="38">
        <f>VLOOKUP(B4,[1]非配额自有品牌智能硬件收入!$G$2:$H$23,2,0)/10000</f>
        <v>38.344752</v>
      </c>
      <c r="AH4" s="38">
        <f t="shared" si="14"/>
        <v>0.493863778979213</v>
      </c>
      <c r="AI4" s="32">
        <f t="shared" si="15"/>
        <v>-0.124800712032523</v>
      </c>
      <c r="AJ4" s="50">
        <v>110.209024262723</v>
      </c>
      <c r="AK4" s="38">
        <f t="shared" si="16"/>
        <v>38.344752</v>
      </c>
      <c r="AL4" s="38">
        <f t="shared" si="17"/>
        <v>0</v>
      </c>
      <c r="AM4" s="48" t="s">
        <v>84</v>
      </c>
      <c r="AN4" s="49">
        <v>3.89164635850395</v>
      </c>
      <c r="AO4" s="61">
        <v>10</v>
      </c>
      <c r="AP4" s="61">
        <v>10</v>
      </c>
      <c r="AQ4" s="62">
        <f>VLOOKUP(B4,[1]渠道类指标!$B$2:$F$22,5,0)</f>
        <v>10</v>
      </c>
      <c r="AR4" s="63">
        <f t="shared" si="18"/>
        <v>1</v>
      </c>
      <c r="AS4" s="20">
        <f t="shared" si="19"/>
        <v>8</v>
      </c>
      <c r="AT4" s="64">
        <v>18306.4017</v>
      </c>
      <c r="AU4" s="64">
        <v>6407</v>
      </c>
      <c r="AV4" s="65">
        <f>VLOOKUP(B4,[1]渠道类指标!$B$2:$F$22,4,0)</f>
        <v>2509</v>
      </c>
      <c r="AW4" s="63">
        <f t="shared" si="20"/>
        <v>0.39160293429062</v>
      </c>
      <c r="AX4" s="20">
        <f t="shared" si="21"/>
        <v>0</v>
      </c>
      <c r="AY4" s="70">
        <v>0.3</v>
      </c>
      <c r="AZ4" s="70">
        <v>0.09</v>
      </c>
      <c r="BA4" s="70"/>
      <c r="BB4" s="33">
        <f t="shared" si="22"/>
        <v>0</v>
      </c>
      <c r="BC4" s="71"/>
      <c r="BD4" s="33">
        <f t="shared" si="23"/>
        <v>0</v>
      </c>
      <c r="BE4" s="19">
        <v>0.025</v>
      </c>
      <c r="BF4" s="19">
        <v>0.025</v>
      </c>
      <c r="BG4" s="78"/>
      <c r="BH4" s="33">
        <f t="shared" si="24"/>
        <v>0</v>
      </c>
      <c r="BI4" s="79">
        <f t="shared" si="25"/>
        <v>0</v>
      </c>
      <c r="BJ4" s="80"/>
      <c r="BK4" s="81"/>
      <c r="BL4" s="82"/>
      <c r="BM4" s="88"/>
      <c r="BN4" s="92"/>
      <c r="BO4" s="93">
        <v>192.474008895598</v>
      </c>
      <c r="BP4" s="2"/>
      <c r="BQ4" s="93">
        <v>0.73</v>
      </c>
      <c r="BR4" s="2"/>
      <c r="BS4" s="2"/>
      <c r="BT4" s="2"/>
    </row>
    <row r="5" spans="1:72">
      <c r="A5" s="17" t="s">
        <v>82</v>
      </c>
      <c r="B5" s="18" t="s">
        <v>86</v>
      </c>
      <c r="C5" s="19">
        <v>0.048</v>
      </c>
      <c r="D5" s="18"/>
      <c r="E5" s="18">
        <f t="shared" si="0"/>
        <v>0</v>
      </c>
      <c r="F5" s="20">
        <f t="shared" si="1"/>
        <v>0</v>
      </c>
      <c r="G5" s="19">
        <v>0.02</v>
      </c>
      <c r="H5" s="18"/>
      <c r="I5" s="18">
        <f t="shared" si="2"/>
        <v>0</v>
      </c>
      <c r="J5" s="20">
        <f t="shared" si="3"/>
        <v>0</v>
      </c>
      <c r="K5" s="31">
        <v>6531.37397035974</v>
      </c>
      <c r="L5" s="32"/>
      <c r="M5" s="20">
        <f t="shared" si="4"/>
        <v>0</v>
      </c>
      <c r="N5" s="32">
        <f t="shared" si="5"/>
        <v>-0.246575342465753</v>
      </c>
      <c r="O5" s="31">
        <v>2285.98088962591</v>
      </c>
      <c r="P5" s="33"/>
      <c r="Q5" s="33">
        <f>MIN(15,IF(P5/O5&lt;0.6,0,P5/O5*15))</f>
        <v>0</v>
      </c>
      <c r="R5" s="31">
        <v>915.727393477948</v>
      </c>
      <c r="S5" s="38">
        <f>VLOOKUP(B5,[1]自有品牌手机收入!$F$2:$G$23,2,0)/10000</f>
        <v>177.146361999998</v>
      </c>
      <c r="T5" s="20">
        <f t="shared" si="6"/>
        <v>0.784542340517901</v>
      </c>
      <c r="U5" s="32">
        <f t="shared" si="7"/>
        <v>-0.0531265461736684</v>
      </c>
      <c r="V5" s="39">
        <v>320.504587717282</v>
      </c>
      <c r="W5" s="33">
        <f t="shared" si="8"/>
        <v>177.146361999998</v>
      </c>
      <c r="X5" s="33">
        <f t="shared" si="9"/>
        <v>0</v>
      </c>
      <c r="Y5" s="31">
        <v>2256.48629359942</v>
      </c>
      <c r="Z5" s="38">
        <f>VLOOKUP(B5,'[1]自有品牌智能硬件收入（已加配额制摊分）'!$H$2:$I$23,2,0)/10000</f>
        <v>986.669572379311</v>
      </c>
      <c r="AA5" s="20">
        <f t="shared" si="10"/>
        <v>1.77332930277967</v>
      </c>
      <c r="AB5" s="32">
        <f t="shared" si="11"/>
        <v>0.190683937671699</v>
      </c>
      <c r="AC5" s="31">
        <v>789.770202759797</v>
      </c>
      <c r="AD5" s="33">
        <f t="shared" si="12"/>
        <v>986.669572379311</v>
      </c>
      <c r="AE5" s="38">
        <f t="shared" si="13"/>
        <v>10</v>
      </c>
      <c r="AF5" s="31">
        <v>358.610754522909</v>
      </c>
      <c r="AG5" s="38">
        <f>VLOOKUP(B5,[1]非配额自有品牌智能硬件收入!$G$2:$H$23,2,0)/10000</f>
        <v>64.9023310000004</v>
      </c>
      <c r="AH5" s="38">
        <f t="shared" si="14"/>
        <v>0.733985263229863</v>
      </c>
      <c r="AI5" s="32">
        <f t="shared" si="15"/>
        <v>-0.0655926748200337</v>
      </c>
      <c r="AJ5" s="50">
        <v>125.513764083018</v>
      </c>
      <c r="AK5" s="38">
        <f t="shared" si="16"/>
        <v>64.9023310000004</v>
      </c>
      <c r="AL5" s="38">
        <f t="shared" si="17"/>
        <v>0</v>
      </c>
      <c r="AM5" s="48" t="s">
        <v>84</v>
      </c>
      <c r="AN5" s="49">
        <v>3.72754861949777</v>
      </c>
      <c r="AO5" s="61">
        <v>10</v>
      </c>
      <c r="AP5" s="61">
        <v>10</v>
      </c>
      <c r="AQ5" s="62">
        <f>VLOOKUP(B5,[1]渠道类指标!$B$2:$F$22,5,0)</f>
        <v>18</v>
      </c>
      <c r="AR5" s="63">
        <f t="shared" si="18"/>
        <v>1.8</v>
      </c>
      <c r="AS5" s="20">
        <f t="shared" si="19"/>
        <v>8</v>
      </c>
      <c r="AT5" s="64">
        <v>16059.12</v>
      </c>
      <c r="AU5" s="64">
        <v>5621</v>
      </c>
      <c r="AV5" s="65">
        <f>VLOOKUP(B5,[1]渠道类指标!$B$2:$F$22,4,0)</f>
        <v>2075</v>
      </c>
      <c r="AW5" s="63">
        <f t="shared" si="20"/>
        <v>0.369151396548657</v>
      </c>
      <c r="AX5" s="20">
        <f t="shared" si="21"/>
        <v>0</v>
      </c>
      <c r="AY5" s="70">
        <v>0.26</v>
      </c>
      <c r="AZ5" s="70">
        <v>0.078</v>
      </c>
      <c r="BA5" s="70"/>
      <c r="BB5" s="33">
        <f t="shared" si="22"/>
        <v>0</v>
      </c>
      <c r="BC5" s="71"/>
      <c r="BD5" s="33">
        <f t="shared" si="23"/>
        <v>0</v>
      </c>
      <c r="BE5" s="19">
        <v>0.025</v>
      </c>
      <c r="BF5" s="19">
        <v>0.025</v>
      </c>
      <c r="BG5" s="78"/>
      <c r="BH5" s="33">
        <f t="shared" si="24"/>
        <v>0</v>
      </c>
      <c r="BI5" s="79">
        <f t="shared" si="25"/>
        <v>0</v>
      </c>
      <c r="BJ5" s="80"/>
      <c r="BK5" s="81"/>
      <c r="BL5" s="82"/>
      <c r="BM5" s="88"/>
      <c r="BN5" s="92"/>
      <c r="BO5" s="93">
        <v>320.504587717282</v>
      </c>
      <c r="BP5" s="2"/>
      <c r="BQ5" s="93">
        <v>0.83</v>
      </c>
      <c r="BR5" s="2"/>
      <c r="BS5" s="2"/>
      <c r="BT5" s="2"/>
    </row>
    <row r="6" spans="1:72">
      <c r="A6" s="17" t="s">
        <v>82</v>
      </c>
      <c r="B6" s="18" t="s">
        <v>87</v>
      </c>
      <c r="C6" s="19">
        <v>0.048</v>
      </c>
      <c r="D6" s="18"/>
      <c r="E6" s="18">
        <f t="shared" si="0"/>
        <v>0</v>
      </c>
      <c r="F6" s="20">
        <f t="shared" si="1"/>
        <v>0</v>
      </c>
      <c r="G6" s="19">
        <v>0.02</v>
      </c>
      <c r="H6" s="18"/>
      <c r="I6" s="18">
        <f t="shared" si="2"/>
        <v>0</v>
      </c>
      <c r="J6" s="20">
        <f t="shared" si="3"/>
        <v>0</v>
      </c>
      <c r="K6" s="31">
        <v>6167.57886869719</v>
      </c>
      <c r="L6" s="32"/>
      <c r="M6" s="20">
        <f t="shared" si="4"/>
        <v>0</v>
      </c>
      <c r="N6" s="32">
        <f t="shared" si="5"/>
        <v>-0.246575342465753</v>
      </c>
      <c r="O6" s="31">
        <v>2158.65260404401</v>
      </c>
      <c r="P6" s="33"/>
      <c r="Q6" s="33">
        <f>MIN(15,IF(P6/O6&lt;0.6,0,P6/O6*15))</f>
        <v>0</v>
      </c>
      <c r="R6" s="31">
        <v>570.339769153042</v>
      </c>
      <c r="S6" s="38">
        <f>VLOOKUP(B6,[1]自有品牌手机收入!$F$2:$G$23,2,0)/10000</f>
        <v>55.8548299999999</v>
      </c>
      <c r="T6" s="20">
        <f t="shared" si="6"/>
        <v>0.397170911731261</v>
      </c>
      <c r="U6" s="32">
        <f t="shared" si="7"/>
        <v>-0.148642788888182</v>
      </c>
      <c r="V6" s="39">
        <v>199.618919203565</v>
      </c>
      <c r="W6" s="33">
        <f t="shared" si="8"/>
        <v>55.8548299999999</v>
      </c>
      <c r="X6" s="33">
        <f t="shared" si="9"/>
        <v>0</v>
      </c>
      <c r="Y6" s="31">
        <v>1727.42695652989</v>
      </c>
      <c r="Z6" s="38">
        <f>VLOOKUP(B6,'[1]自有品牌智能硬件收入（已加配额制摊分）'!$H$2:$I$23,2,0)/10000</f>
        <v>1147.81478334483</v>
      </c>
      <c r="AA6" s="20">
        <f t="shared" si="10"/>
        <v>2.69477479423737</v>
      </c>
      <c r="AB6" s="32">
        <f t="shared" si="11"/>
        <v>0.417889675291406</v>
      </c>
      <c r="AC6" s="31">
        <v>604.599434785461</v>
      </c>
      <c r="AD6" s="33">
        <f t="shared" si="12"/>
        <v>1147.81478334483</v>
      </c>
      <c r="AE6" s="38">
        <f t="shared" si="13"/>
        <v>10</v>
      </c>
      <c r="AF6" s="31">
        <v>264.814717985023</v>
      </c>
      <c r="AG6" s="38">
        <f>VLOOKUP(B6,[1]非配额自有品牌智能硬件收入!$G$2:$H$23,2,0)/10000</f>
        <v>17.600473</v>
      </c>
      <c r="AH6" s="38">
        <f t="shared" si="14"/>
        <v>0.269545803944298</v>
      </c>
      <c r="AI6" s="32">
        <f t="shared" si="15"/>
        <v>-0.180111993547981</v>
      </c>
      <c r="AJ6" s="50">
        <v>92.6851512947579</v>
      </c>
      <c r="AK6" s="38">
        <f t="shared" si="16"/>
        <v>17.600473</v>
      </c>
      <c r="AL6" s="38">
        <f t="shared" si="17"/>
        <v>0</v>
      </c>
      <c r="AM6" s="48" t="s">
        <v>84</v>
      </c>
      <c r="AN6" s="49">
        <v>3.50820237614771</v>
      </c>
      <c r="AO6" s="61">
        <v>17</v>
      </c>
      <c r="AP6" s="61">
        <v>17</v>
      </c>
      <c r="AQ6" s="62">
        <f>VLOOKUP(B6,[1]渠道类指标!$B$2:$F$22,5,0)</f>
        <v>26</v>
      </c>
      <c r="AR6" s="63">
        <f t="shared" si="18"/>
        <v>1.52941176470588</v>
      </c>
      <c r="AS6" s="20">
        <f t="shared" si="19"/>
        <v>8</v>
      </c>
      <c r="AT6" s="64">
        <v>19992.1185</v>
      </c>
      <c r="AU6" s="64">
        <v>6997</v>
      </c>
      <c r="AV6" s="65">
        <f>VLOOKUP(B6,[1]渠道类指标!$B$2:$F$22,4,0)</f>
        <v>4572</v>
      </c>
      <c r="AW6" s="63">
        <f t="shared" si="20"/>
        <v>0.653422895526654</v>
      </c>
      <c r="AX6" s="20">
        <f t="shared" si="21"/>
        <v>0</v>
      </c>
      <c r="AY6" s="70">
        <v>0.18</v>
      </c>
      <c r="AZ6" s="70">
        <v>0.054</v>
      </c>
      <c r="BA6" s="70"/>
      <c r="BB6" s="33">
        <f t="shared" si="22"/>
        <v>0</v>
      </c>
      <c r="BC6" s="71"/>
      <c r="BD6" s="33">
        <f t="shared" si="23"/>
        <v>0</v>
      </c>
      <c r="BE6" s="19">
        <v>0.025</v>
      </c>
      <c r="BF6" s="19">
        <v>0.025</v>
      </c>
      <c r="BG6" s="78"/>
      <c r="BH6" s="33">
        <f t="shared" si="24"/>
        <v>0</v>
      </c>
      <c r="BI6" s="79">
        <f t="shared" si="25"/>
        <v>0</v>
      </c>
      <c r="BJ6" s="80"/>
      <c r="BK6" s="81"/>
      <c r="BL6" s="82"/>
      <c r="BM6" s="88"/>
      <c r="BN6" s="92"/>
      <c r="BO6" s="93">
        <v>199.618919203565</v>
      </c>
      <c r="BP6" s="2"/>
      <c r="BQ6" s="93">
        <v>0.6</v>
      </c>
      <c r="BR6" s="2"/>
      <c r="BS6" s="2"/>
      <c r="BT6" s="2"/>
    </row>
    <row r="7" spans="1:72">
      <c r="A7" s="17" t="s">
        <v>82</v>
      </c>
      <c r="B7" s="18" t="s">
        <v>88</v>
      </c>
      <c r="C7" s="19">
        <v>0.048</v>
      </c>
      <c r="D7" s="18"/>
      <c r="E7" s="18">
        <f t="shared" si="0"/>
        <v>0</v>
      </c>
      <c r="F7" s="20">
        <f t="shared" si="1"/>
        <v>0</v>
      </c>
      <c r="G7" s="19">
        <v>0.02</v>
      </c>
      <c r="H7" s="18"/>
      <c r="I7" s="18">
        <f t="shared" si="2"/>
        <v>0</v>
      </c>
      <c r="J7" s="20">
        <f t="shared" si="3"/>
        <v>0</v>
      </c>
      <c r="K7" s="31">
        <v>3971.06002821489</v>
      </c>
      <c r="L7" s="32"/>
      <c r="M7" s="20">
        <f t="shared" si="4"/>
        <v>0</v>
      </c>
      <c r="N7" s="32">
        <f t="shared" si="5"/>
        <v>-0.246575342465753</v>
      </c>
      <c r="O7" s="31">
        <v>1389.87100987521</v>
      </c>
      <c r="P7" s="33"/>
      <c r="Q7" s="33">
        <f>MIN(15,IF(P7/O7&lt;0.6,0,P7/O7*15))</f>
        <v>0</v>
      </c>
      <c r="R7" s="31">
        <v>332.766643159152</v>
      </c>
      <c r="S7" s="38">
        <f>VLOOKUP(B7,[1]自有品牌手机收入!$F$2:$G$23,2,0)/10000</f>
        <v>27.781248</v>
      </c>
      <c r="T7" s="20">
        <f t="shared" si="6"/>
        <v>0.338580795229469</v>
      </c>
      <c r="U7" s="32">
        <f t="shared" si="7"/>
        <v>-0.16308966692972</v>
      </c>
      <c r="V7" s="39">
        <v>116.468325105703</v>
      </c>
      <c r="W7" s="33">
        <f t="shared" si="8"/>
        <v>27.781248</v>
      </c>
      <c r="X7" s="33">
        <f t="shared" si="9"/>
        <v>0</v>
      </c>
      <c r="Y7" s="31">
        <v>1262.16379139004</v>
      </c>
      <c r="Z7" s="38">
        <f>VLOOKUP(B7,'[1]自有品牌智能硬件收入（已加配额制摊分）'!$H$2:$I$23,2,0)/10000</f>
        <v>477.760897793104</v>
      </c>
      <c r="AA7" s="20">
        <f t="shared" si="10"/>
        <v>1.5351302869639</v>
      </c>
      <c r="AB7" s="32">
        <f t="shared" si="11"/>
        <v>0.131949933771921</v>
      </c>
      <c r="AC7" s="31">
        <v>441.757326986513</v>
      </c>
      <c r="AD7" s="33">
        <f t="shared" si="12"/>
        <v>477.760897793104</v>
      </c>
      <c r="AE7" s="38">
        <f t="shared" si="13"/>
        <v>10</v>
      </c>
      <c r="AF7" s="31">
        <v>202.861677730385</v>
      </c>
      <c r="AG7" s="38">
        <f>VLOOKUP(B7,[1]非配额自有品牌智能硬件收入!$G$2:$H$23,2,0)/10000</f>
        <v>49.0134840000004</v>
      </c>
      <c r="AH7" s="38">
        <f t="shared" si="14"/>
        <v>0.979864258036556</v>
      </c>
      <c r="AI7" s="32">
        <f t="shared" si="15"/>
        <v>-0.00496497747043831</v>
      </c>
      <c r="AJ7" s="50">
        <v>71.0015872056349</v>
      </c>
      <c r="AK7" s="38">
        <f t="shared" si="16"/>
        <v>49.0134840000004</v>
      </c>
      <c r="AL7" s="38">
        <f t="shared" si="17"/>
        <v>6.90315328558043</v>
      </c>
      <c r="AM7" s="48" t="s">
        <v>84</v>
      </c>
      <c r="AN7" s="49">
        <v>4.77195945945946</v>
      </c>
      <c r="AO7" s="61">
        <v>12</v>
      </c>
      <c r="AP7" s="61">
        <v>12</v>
      </c>
      <c r="AQ7" s="62">
        <f>VLOOKUP(B7,[1]渠道类指标!$B$2:$F$22,5,0)</f>
        <v>8</v>
      </c>
      <c r="AR7" s="63">
        <f t="shared" si="18"/>
        <v>0.666666666666667</v>
      </c>
      <c r="AS7" s="20">
        <f t="shared" si="19"/>
        <v>0</v>
      </c>
      <c r="AT7" s="64">
        <v>3822.5</v>
      </c>
      <c r="AU7" s="64">
        <v>1338</v>
      </c>
      <c r="AV7" s="65">
        <f>VLOOKUP(B7,[1]渠道类指标!$B$2:$F$22,4,0)</f>
        <v>2432</v>
      </c>
      <c r="AW7" s="63">
        <f t="shared" si="20"/>
        <v>1.81763826606876</v>
      </c>
      <c r="AX7" s="20">
        <f t="shared" si="21"/>
        <v>8</v>
      </c>
      <c r="AY7" s="70">
        <v>0.12</v>
      </c>
      <c r="AZ7" s="70">
        <v>0.036</v>
      </c>
      <c r="BA7" s="70"/>
      <c r="BB7" s="33">
        <f t="shared" si="22"/>
        <v>0</v>
      </c>
      <c r="BC7" s="71"/>
      <c r="BD7" s="33">
        <f t="shared" si="23"/>
        <v>0</v>
      </c>
      <c r="BE7" s="19">
        <v>0.025</v>
      </c>
      <c r="BF7" s="19">
        <v>0.025</v>
      </c>
      <c r="BG7" s="78"/>
      <c r="BH7" s="33">
        <f t="shared" si="24"/>
        <v>0</v>
      </c>
      <c r="BI7" s="79">
        <f t="shared" si="25"/>
        <v>0</v>
      </c>
      <c r="BJ7" s="80"/>
      <c r="BK7" s="81"/>
      <c r="BL7" s="82"/>
      <c r="BM7" s="88"/>
      <c r="BN7" s="92"/>
      <c r="BO7" s="93">
        <v>116.468325105703</v>
      </c>
      <c r="BP7" s="2"/>
      <c r="BQ7" s="93">
        <v>0.45</v>
      </c>
      <c r="BR7" s="2"/>
      <c r="BS7" s="2"/>
      <c r="BT7" s="2"/>
    </row>
    <row r="8" spans="1:72">
      <c r="A8" s="17" t="s">
        <v>82</v>
      </c>
      <c r="B8" s="18" t="s">
        <v>89</v>
      </c>
      <c r="C8" s="21">
        <v>0.048</v>
      </c>
      <c r="D8" s="18"/>
      <c r="E8" s="18">
        <f t="shared" si="0"/>
        <v>0</v>
      </c>
      <c r="F8" s="20">
        <f t="shared" si="1"/>
        <v>0</v>
      </c>
      <c r="G8" s="21">
        <v>0.02</v>
      </c>
      <c r="H8" s="18"/>
      <c r="I8" s="18">
        <f t="shared" si="2"/>
        <v>0</v>
      </c>
      <c r="J8" s="20">
        <f t="shared" si="3"/>
        <v>0</v>
      </c>
      <c r="K8" s="31">
        <f>SUM(K3:K7)</f>
        <v>145332.124706228</v>
      </c>
      <c r="L8" s="32"/>
      <c r="M8" s="20">
        <f t="shared" si="4"/>
        <v>0</v>
      </c>
      <c r="N8" s="32">
        <f t="shared" si="5"/>
        <v>-0.246575342465753</v>
      </c>
      <c r="O8" s="31">
        <f>SUM(O3:O7)</f>
        <v>50866.2436471799</v>
      </c>
      <c r="P8" s="33"/>
      <c r="Q8" s="31">
        <f>SUM(Q3:Q7)</f>
        <v>0</v>
      </c>
      <c r="R8" s="31">
        <v>4079.8077913159</v>
      </c>
      <c r="S8" s="38">
        <f>SUM(S3:S7)</f>
        <v>442.985009999998</v>
      </c>
      <c r="T8" s="20">
        <f t="shared" si="6"/>
        <v>0.440351705332144</v>
      </c>
      <c r="U8" s="32">
        <f t="shared" si="7"/>
        <v>-0.137995469918101</v>
      </c>
      <c r="V8" s="39">
        <v>1427.93272696057</v>
      </c>
      <c r="W8" s="33">
        <f t="shared" si="8"/>
        <v>442.985009999998</v>
      </c>
      <c r="X8" s="33">
        <f t="shared" si="9"/>
        <v>0</v>
      </c>
      <c r="Y8" s="31">
        <f>SUM(Y3:Y7)</f>
        <v>15769.0706324413</v>
      </c>
      <c r="Z8" s="38">
        <f>SUM(Z3:Z7)</f>
        <v>7305.45178586207</v>
      </c>
      <c r="AA8" s="20">
        <f t="shared" si="10"/>
        <v>1.87884665282962</v>
      </c>
      <c r="AB8" s="32">
        <f t="shared" si="11"/>
        <v>0.216701914396344</v>
      </c>
      <c r="AC8" s="31">
        <f>SUM(AC3:AC7)</f>
        <v>5519.17472135446</v>
      </c>
      <c r="AD8" s="33">
        <f t="shared" si="12"/>
        <v>7305.45178586207</v>
      </c>
      <c r="AE8" s="38">
        <f t="shared" si="13"/>
        <v>10</v>
      </c>
      <c r="AF8" s="31">
        <f>SUM(AF3:AF7)</f>
        <v>2806.4700872543</v>
      </c>
      <c r="AG8" s="38">
        <f>SUM(AG3:AG7)</f>
        <v>184.911441000001</v>
      </c>
      <c r="AH8" s="38">
        <f t="shared" si="14"/>
        <v>0.267210623494305</v>
      </c>
      <c r="AI8" s="32">
        <f t="shared" si="15"/>
        <v>-0.180687791467158</v>
      </c>
      <c r="AJ8" s="50">
        <f>SUM(AJ3:AJ7)</f>
        <v>982.264530539004</v>
      </c>
      <c r="AK8" s="38">
        <f t="shared" si="16"/>
        <v>184.911441000001</v>
      </c>
      <c r="AL8" s="38">
        <f t="shared" si="17"/>
        <v>0</v>
      </c>
      <c r="AM8" s="48" t="s">
        <v>84</v>
      </c>
      <c r="AN8" s="51">
        <f>SUM(AN3:AN7)</f>
        <v>17.9119750879315</v>
      </c>
      <c r="AO8" s="61">
        <f>SUM(AO3:AO7)</f>
        <v>120</v>
      </c>
      <c r="AP8" s="61">
        <f>SUM(AP3:AP7)</f>
        <v>120</v>
      </c>
      <c r="AQ8" s="61">
        <f>SUM(AQ3:AQ7)</f>
        <v>139</v>
      </c>
      <c r="AR8" s="63">
        <f t="shared" si="18"/>
        <v>1.15833333333333</v>
      </c>
      <c r="AS8" s="20">
        <f t="shared" si="19"/>
        <v>8</v>
      </c>
      <c r="AT8" s="64">
        <f>SUM(AT3:AT7)</f>
        <v>174729.4578</v>
      </c>
      <c r="AU8" s="64">
        <f>SUM(AU3:AU7)</f>
        <v>61155</v>
      </c>
      <c r="AV8" s="64">
        <f>SUM(AV3:AV7)</f>
        <v>16141</v>
      </c>
      <c r="AW8" s="63">
        <f t="shared" si="20"/>
        <v>0.263935900580492</v>
      </c>
      <c r="AX8" s="20">
        <f t="shared" si="21"/>
        <v>0</v>
      </c>
      <c r="AY8" s="70">
        <f>SUM(AY3:AY7)</f>
        <v>3.44</v>
      </c>
      <c r="AZ8" s="70">
        <f>SUM(AZ3:AZ7)</f>
        <v>1.032</v>
      </c>
      <c r="BA8" s="70"/>
      <c r="BB8" s="33">
        <f t="shared" si="22"/>
        <v>0</v>
      </c>
      <c r="BC8" s="71"/>
      <c r="BD8" s="33">
        <f t="shared" si="23"/>
        <v>0</v>
      </c>
      <c r="BE8" s="21">
        <v>0.025</v>
      </c>
      <c r="BF8" s="21">
        <v>0.025</v>
      </c>
      <c r="BG8" s="78"/>
      <c r="BH8" s="33">
        <f t="shared" si="24"/>
        <v>0</v>
      </c>
      <c r="BI8" s="79">
        <f t="shared" si="25"/>
        <v>0</v>
      </c>
      <c r="BJ8" s="80"/>
      <c r="BK8" s="81"/>
      <c r="BL8" s="82"/>
      <c r="BM8" s="88"/>
      <c r="BN8" s="92"/>
      <c r="BO8" s="93">
        <v>1427.93272696057</v>
      </c>
      <c r="BP8" s="2"/>
      <c r="BQ8" s="93">
        <f>SUM(BQ3:BQ7)</f>
        <v>7.3</v>
      </c>
      <c r="BR8" s="2"/>
      <c r="BS8" s="2"/>
      <c r="BT8" s="2"/>
    </row>
    <row r="9" spans="1:72">
      <c r="A9" s="17" t="s">
        <v>90</v>
      </c>
      <c r="B9" s="18" t="s">
        <v>91</v>
      </c>
      <c r="C9" s="19">
        <v>0.048</v>
      </c>
      <c r="D9" s="18"/>
      <c r="E9" s="18">
        <f t="shared" si="0"/>
        <v>0</v>
      </c>
      <c r="F9" s="20">
        <f t="shared" si="1"/>
        <v>0</v>
      </c>
      <c r="G9" s="19">
        <v>0.02</v>
      </c>
      <c r="H9" s="18"/>
      <c r="I9" s="18">
        <f t="shared" si="2"/>
        <v>0</v>
      </c>
      <c r="J9" s="20">
        <f t="shared" si="3"/>
        <v>0</v>
      </c>
      <c r="K9" s="31">
        <v>131369.519504098</v>
      </c>
      <c r="L9" s="32"/>
      <c r="M9" s="20">
        <f t="shared" si="4"/>
        <v>0</v>
      </c>
      <c r="N9" s="32">
        <f t="shared" si="5"/>
        <v>-0.246575342465753</v>
      </c>
      <c r="O9" s="31">
        <v>45979.3318264341</v>
      </c>
      <c r="P9" s="33"/>
      <c r="Q9" s="33">
        <f t="shared" ref="Q9:Q14" si="26">MIN(15,IF(P9/O9&lt;0.6,0,P9/O9*15))</f>
        <v>0</v>
      </c>
      <c r="R9" s="31">
        <v>1474.5424776082</v>
      </c>
      <c r="S9" s="38">
        <f>VLOOKUP(B9,[1]自有品牌手机收入!$F$2:$G$23,2,0)/10000</f>
        <v>24.955766</v>
      </c>
      <c r="T9" s="20">
        <f t="shared" si="6"/>
        <v>0.0686378975047313</v>
      </c>
      <c r="U9" s="32">
        <f t="shared" si="7"/>
        <v>-0.229650929382395</v>
      </c>
      <c r="V9" s="39">
        <v>516.089867162872</v>
      </c>
      <c r="W9" s="33">
        <f t="shared" si="8"/>
        <v>24.955766</v>
      </c>
      <c r="X9" s="33">
        <f t="shared" si="9"/>
        <v>0</v>
      </c>
      <c r="Y9" s="31">
        <v>7884.8421250225</v>
      </c>
      <c r="Z9" s="38">
        <f>VLOOKUP(B9,'[1]自有品牌智能硬件收入（已加配额制摊分）'!$H$2:$I$23,2,0)/10000</f>
        <v>3097.79411268966</v>
      </c>
      <c r="AA9" s="20">
        <f t="shared" si="10"/>
        <v>1.59334529778553</v>
      </c>
      <c r="AB9" s="32">
        <f t="shared" si="11"/>
        <v>0.14630432000191</v>
      </c>
      <c r="AC9" s="31">
        <v>2759.69474375787</v>
      </c>
      <c r="AD9" s="33">
        <f t="shared" si="12"/>
        <v>3097.79411268966</v>
      </c>
      <c r="AE9" s="38">
        <f t="shared" si="13"/>
        <v>10</v>
      </c>
      <c r="AF9" s="31">
        <v>1581.23504416641</v>
      </c>
      <c r="AG9" s="38">
        <f>VLOOKUP(B9,[1]非配额自有品牌智能硬件收入!$G$2:$H$23,2,0)/10000</f>
        <v>18.643862</v>
      </c>
      <c r="AH9" s="38">
        <f t="shared" si="14"/>
        <v>0.0478178234096574</v>
      </c>
      <c r="AI9" s="32">
        <f t="shared" si="15"/>
        <v>-0.23478464628255</v>
      </c>
      <c r="AJ9" s="50">
        <v>553.432265458243</v>
      </c>
      <c r="AK9" s="38">
        <f t="shared" si="16"/>
        <v>18.643862</v>
      </c>
      <c r="AL9" s="38">
        <f t="shared" si="17"/>
        <v>0</v>
      </c>
      <c r="AM9" s="48" t="s">
        <v>84</v>
      </c>
      <c r="AN9" s="49">
        <v>1.7764777858639</v>
      </c>
      <c r="AO9" s="61">
        <v>62</v>
      </c>
      <c r="AP9" s="61">
        <v>62</v>
      </c>
      <c r="AQ9" s="62">
        <f>VLOOKUP(B9,[1]渠道类指标!$B$2:$F$22,5,0)</f>
        <v>82</v>
      </c>
      <c r="AR9" s="63">
        <f t="shared" si="18"/>
        <v>1.32258064516129</v>
      </c>
      <c r="AS9" s="20">
        <f t="shared" si="19"/>
        <v>8</v>
      </c>
      <c r="AT9" s="64">
        <v>198350.525</v>
      </c>
      <c r="AU9" s="64">
        <v>69423</v>
      </c>
      <c r="AV9" s="65">
        <f>VLOOKUP(B9,[1]渠道类指标!$B$2:$F$22,4,0)</f>
        <v>5909</v>
      </c>
      <c r="AW9" s="63">
        <f t="shared" si="20"/>
        <v>0.0851158837849128</v>
      </c>
      <c r="AX9" s="20">
        <f t="shared" si="21"/>
        <v>0</v>
      </c>
      <c r="AY9" s="70">
        <v>1.8</v>
      </c>
      <c r="AZ9" s="70">
        <v>0.54</v>
      </c>
      <c r="BA9" s="70"/>
      <c r="BB9" s="33">
        <f t="shared" si="22"/>
        <v>0</v>
      </c>
      <c r="BC9" s="71"/>
      <c r="BD9" s="33">
        <f t="shared" si="23"/>
        <v>0</v>
      </c>
      <c r="BE9" s="19">
        <v>0.025</v>
      </c>
      <c r="BF9" s="19">
        <v>0.025</v>
      </c>
      <c r="BG9" s="78"/>
      <c r="BH9" s="33">
        <f t="shared" si="24"/>
        <v>0</v>
      </c>
      <c r="BI9" s="79">
        <f t="shared" si="25"/>
        <v>0</v>
      </c>
      <c r="BJ9" s="80"/>
      <c r="BK9" s="81"/>
      <c r="BL9" s="82"/>
      <c r="BM9" s="88"/>
      <c r="BN9" s="92"/>
      <c r="BO9" s="93">
        <v>516.089867162872</v>
      </c>
      <c r="BP9" s="2"/>
      <c r="BQ9" s="93">
        <v>4.51</v>
      </c>
      <c r="BR9" s="2"/>
      <c r="BS9" s="2"/>
      <c r="BT9" s="2"/>
    </row>
    <row r="10" spans="1:72">
      <c r="A10" s="17" t="s">
        <v>90</v>
      </c>
      <c r="B10" s="18" t="s">
        <v>92</v>
      </c>
      <c r="C10" s="19">
        <v>0.048</v>
      </c>
      <c r="D10" s="18"/>
      <c r="E10" s="18">
        <f t="shared" si="0"/>
        <v>0</v>
      </c>
      <c r="F10" s="20">
        <f t="shared" si="1"/>
        <v>0</v>
      </c>
      <c r="G10" s="19">
        <v>0.02</v>
      </c>
      <c r="H10" s="18"/>
      <c r="I10" s="18">
        <f t="shared" si="2"/>
        <v>0</v>
      </c>
      <c r="J10" s="20">
        <f t="shared" si="3"/>
        <v>0</v>
      </c>
      <c r="K10" s="31">
        <v>12715.4031010266</v>
      </c>
      <c r="L10" s="32"/>
      <c r="M10" s="20">
        <f t="shared" si="4"/>
        <v>0</v>
      </c>
      <c r="N10" s="32">
        <f t="shared" si="5"/>
        <v>-0.246575342465753</v>
      </c>
      <c r="O10" s="31">
        <v>4450.39108535932</v>
      </c>
      <c r="P10" s="33"/>
      <c r="Q10" s="33">
        <f t="shared" si="26"/>
        <v>0</v>
      </c>
      <c r="R10" s="31">
        <v>714.718931844288</v>
      </c>
      <c r="S10" s="38">
        <f>VLOOKUP(B10,[1]自有品牌手机收入!$F$2:$G$23,2,0)/10000</f>
        <v>275.208178000001</v>
      </c>
      <c r="T10" s="20">
        <f t="shared" si="6"/>
        <v>1.56162374535419</v>
      </c>
      <c r="U10" s="32">
        <f t="shared" si="7"/>
        <v>0.13848256734761</v>
      </c>
      <c r="V10" s="39">
        <v>250.151626145501</v>
      </c>
      <c r="W10" s="33">
        <f t="shared" si="8"/>
        <v>275.208178000001</v>
      </c>
      <c r="X10" s="33">
        <f t="shared" si="9"/>
        <v>15</v>
      </c>
      <c r="Y10" s="31">
        <v>3350.14302261318</v>
      </c>
      <c r="Z10" s="38">
        <f>VLOOKUP(B10,'[1]自有品牌智能硬件收入（已加配额制摊分）'!$H$2:$I$23,2,0)/10000</f>
        <v>2242.39346124138</v>
      </c>
      <c r="AA10" s="20">
        <f t="shared" si="10"/>
        <v>2.71455612434878</v>
      </c>
      <c r="AB10" s="32">
        <f t="shared" si="11"/>
        <v>0.422767263538054</v>
      </c>
      <c r="AC10" s="31">
        <v>1172.55005791461</v>
      </c>
      <c r="AD10" s="33">
        <f t="shared" si="12"/>
        <v>2242.39346124138</v>
      </c>
      <c r="AE10" s="38">
        <f t="shared" si="13"/>
        <v>10</v>
      </c>
      <c r="AF10" s="31">
        <v>546.278600978111</v>
      </c>
      <c r="AG10" s="38">
        <f>VLOOKUP(B10,[1]非配额自有品牌智能硬件收入!$G$2:$H$23,2,0)/10000</f>
        <v>125.427944</v>
      </c>
      <c r="AH10" s="38">
        <f t="shared" si="14"/>
        <v>0.931173203929867</v>
      </c>
      <c r="AI10" s="32">
        <f t="shared" si="15"/>
        <v>-0.0169709908118137</v>
      </c>
      <c r="AJ10" s="50">
        <v>191.197510342339</v>
      </c>
      <c r="AK10" s="38">
        <f t="shared" si="16"/>
        <v>125.427944</v>
      </c>
      <c r="AL10" s="38">
        <f t="shared" si="17"/>
        <v>6.56012433296971</v>
      </c>
      <c r="AM10" s="48" t="s">
        <v>84</v>
      </c>
      <c r="AN10" s="49">
        <v>4.15205911399303</v>
      </c>
      <c r="AO10" s="61">
        <v>33</v>
      </c>
      <c r="AP10" s="61">
        <v>33</v>
      </c>
      <c r="AQ10" s="62">
        <f>VLOOKUP(B10,[1]渠道类指标!$B$2:$F$22,5,0)</f>
        <v>42</v>
      </c>
      <c r="AR10" s="63">
        <f t="shared" si="18"/>
        <v>1.27272727272727</v>
      </c>
      <c r="AS10" s="20">
        <f t="shared" si="19"/>
        <v>8</v>
      </c>
      <c r="AT10" s="64">
        <v>16741.76</v>
      </c>
      <c r="AU10" s="64">
        <v>5860</v>
      </c>
      <c r="AV10" s="65">
        <f>VLOOKUP(B10,[1]渠道类指标!$B$2:$F$22,4,0)</f>
        <v>2222</v>
      </c>
      <c r="AW10" s="63">
        <f t="shared" si="20"/>
        <v>0.379180887372014</v>
      </c>
      <c r="AX10" s="20">
        <f t="shared" si="21"/>
        <v>0</v>
      </c>
      <c r="AY10" s="70">
        <v>0.58</v>
      </c>
      <c r="AZ10" s="70">
        <v>0.174</v>
      </c>
      <c r="BA10" s="70"/>
      <c r="BB10" s="33">
        <f t="shared" si="22"/>
        <v>0</v>
      </c>
      <c r="BC10" s="71"/>
      <c r="BD10" s="33">
        <f t="shared" si="23"/>
        <v>0</v>
      </c>
      <c r="BE10" s="19">
        <v>0.025</v>
      </c>
      <c r="BF10" s="19">
        <v>0.025</v>
      </c>
      <c r="BG10" s="78"/>
      <c r="BH10" s="33">
        <f t="shared" si="24"/>
        <v>0</v>
      </c>
      <c r="BI10" s="79">
        <f t="shared" si="25"/>
        <v>0</v>
      </c>
      <c r="BJ10" s="80"/>
      <c r="BK10" s="81"/>
      <c r="BL10" s="82"/>
      <c r="BM10" s="88"/>
      <c r="BN10" s="92"/>
      <c r="BO10" s="93">
        <v>250.151626145501</v>
      </c>
      <c r="BP10" s="2"/>
      <c r="BQ10" s="93">
        <v>1.31</v>
      </c>
      <c r="BR10" s="2"/>
      <c r="BS10" s="2"/>
      <c r="BT10" s="2"/>
    </row>
    <row r="11" spans="1:72">
      <c r="A11" s="17" t="s">
        <v>90</v>
      </c>
      <c r="B11" s="18" t="s">
        <v>93</v>
      </c>
      <c r="C11" s="19">
        <v>0.048</v>
      </c>
      <c r="D11" s="18"/>
      <c r="E11" s="18">
        <f t="shared" si="0"/>
        <v>0</v>
      </c>
      <c r="F11" s="20">
        <f t="shared" si="1"/>
        <v>0</v>
      </c>
      <c r="G11" s="19">
        <v>0.02</v>
      </c>
      <c r="H11" s="18"/>
      <c r="I11" s="18">
        <f t="shared" si="2"/>
        <v>0</v>
      </c>
      <c r="J11" s="20">
        <f t="shared" si="3"/>
        <v>0</v>
      </c>
      <c r="K11" s="31">
        <v>8205.96779264361</v>
      </c>
      <c r="L11" s="32"/>
      <c r="M11" s="20">
        <f t="shared" si="4"/>
        <v>0</v>
      </c>
      <c r="N11" s="32">
        <f t="shared" si="5"/>
        <v>-0.246575342465753</v>
      </c>
      <c r="O11" s="31">
        <v>2872.08872742527</v>
      </c>
      <c r="P11" s="33"/>
      <c r="Q11" s="33">
        <f t="shared" si="26"/>
        <v>0</v>
      </c>
      <c r="R11" s="31">
        <v>307.110153623925</v>
      </c>
      <c r="S11" s="38">
        <f>VLOOKUP(B11,[1]自有品牌手机收入!$F$2:$G$23,2,0)/10000</f>
        <v>64.99317</v>
      </c>
      <c r="T11" s="20">
        <f t="shared" si="6"/>
        <v>0.858269935254048</v>
      </c>
      <c r="U11" s="32">
        <f t="shared" si="7"/>
        <v>-0.0349471392524265</v>
      </c>
      <c r="V11" s="39">
        <v>107.488553768374</v>
      </c>
      <c r="W11" s="33">
        <f t="shared" si="8"/>
        <v>64.99317</v>
      </c>
      <c r="X11" s="33">
        <f t="shared" si="9"/>
        <v>9.06978013771401</v>
      </c>
      <c r="Y11" s="31">
        <v>2637.62282950873</v>
      </c>
      <c r="Z11" s="38">
        <f>VLOOKUP(B11,'[1]自有品牌智能硬件收入（已加配额制摊分）'!$H$2:$I$23,2,0)/10000</f>
        <v>1729.90652568966</v>
      </c>
      <c r="AA11" s="20">
        <f t="shared" si="10"/>
        <v>2.6598693120044</v>
      </c>
      <c r="AB11" s="32">
        <f t="shared" si="11"/>
        <v>0.40928284405588</v>
      </c>
      <c r="AC11" s="31">
        <v>923.167990328055</v>
      </c>
      <c r="AD11" s="33">
        <f t="shared" si="12"/>
        <v>1729.90652568966</v>
      </c>
      <c r="AE11" s="38">
        <f t="shared" si="13"/>
        <v>10</v>
      </c>
      <c r="AF11" s="31">
        <v>427.597298319395</v>
      </c>
      <c r="AG11" s="38">
        <f>VLOOKUP(B11,[1]非配额自有品牌智能硬件收入!$G$2:$H$23,2,0)/10000</f>
        <v>105.547905</v>
      </c>
      <c r="AH11" s="38">
        <f t="shared" si="14"/>
        <v>1.00107132150368</v>
      </c>
      <c r="AI11" s="32">
        <f t="shared" si="15"/>
        <v>0.000264161466660945</v>
      </c>
      <c r="AJ11" s="50">
        <v>149.659054411788</v>
      </c>
      <c r="AK11" s="38">
        <f t="shared" si="16"/>
        <v>105.547905</v>
      </c>
      <c r="AL11" s="38">
        <f t="shared" si="17"/>
        <v>7.05255725521184</v>
      </c>
      <c r="AM11" s="48" t="s">
        <v>84</v>
      </c>
      <c r="AN11" s="49">
        <v>2.11453488372093</v>
      </c>
      <c r="AO11" s="61">
        <v>14</v>
      </c>
      <c r="AP11" s="61">
        <v>14</v>
      </c>
      <c r="AQ11" s="62">
        <f>VLOOKUP(B11,[1]渠道类指标!$B$2:$F$22,5,0)</f>
        <v>13</v>
      </c>
      <c r="AR11" s="63">
        <f t="shared" si="18"/>
        <v>0.928571428571429</v>
      </c>
      <c r="AS11" s="20">
        <f t="shared" si="19"/>
        <v>7.42857142857143</v>
      </c>
      <c r="AT11" s="64">
        <v>3317.6</v>
      </c>
      <c r="AU11" s="64">
        <v>1161</v>
      </c>
      <c r="AV11" s="65">
        <f>VLOOKUP(B11,[1]渠道类指标!$B$2:$F$22,4,0)</f>
        <v>1744</v>
      </c>
      <c r="AW11" s="63">
        <f t="shared" si="20"/>
        <v>1.5021533161068</v>
      </c>
      <c r="AX11" s="20">
        <f t="shared" si="21"/>
        <v>8</v>
      </c>
      <c r="AY11" s="70">
        <v>0.24</v>
      </c>
      <c r="AZ11" s="70">
        <v>0.072</v>
      </c>
      <c r="BA11" s="70"/>
      <c r="BB11" s="33">
        <f t="shared" si="22"/>
        <v>0</v>
      </c>
      <c r="BC11" s="71"/>
      <c r="BD11" s="33">
        <f t="shared" si="23"/>
        <v>0</v>
      </c>
      <c r="BE11" s="19">
        <v>0.025</v>
      </c>
      <c r="BF11" s="19">
        <v>0.025</v>
      </c>
      <c r="BG11" s="78"/>
      <c r="BH11" s="33">
        <f t="shared" si="24"/>
        <v>0</v>
      </c>
      <c r="BI11" s="79">
        <f t="shared" si="25"/>
        <v>0</v>
      </c>
      <c r="BJ11" s="80"/>
      <c r="BK11" s="81"/>
      <c r="BL11" s="82"/>
      <c r="BM11" s="88"/>
      <c r="BN11" s="92"/>
      <c r="BO11" s="93">
        <v>107.488553768374</v>
      </c>
      <c r="BP11" s="2"/>
      <c r="BQ11" s="93">
        <v>0.99</v>
      </c>
      <c r="BR11" s="2"/>
      <c r="BS11" s="2"/>
      <c r="BT11" s="2"/>
    </row>
    <row r="12" spans="1:72">
      <c r="A12" s="17" t="s">
        <v>90</v>
      </c>
      <c r="B12" s="18" t="s">
        <v>94</v>
      </c>
      <c r="C12" s="19">
        <v>0.048</v>
      </c>
      <c r="D12" s="18"/>
      <c r="E12" s="18">
        <f t="shared" si="0"/>
        <v>0</v>
      </c>
      <c r="F12" s="20">
        <f t="shared" si="1"/>
        <v>0</v>
      </c>
      <c r="G12" s="19">
        <v>0.02</v>
      </c>
      <c r="H12" s="18"/>
      <c r="I12" s="18">
        <f t="shared" si="2"/>
        <v>0</v>
      </c>
      <c r="J12" s="20">
        <f t="shared" si="3"/>
        <v>0</v>
      </c>
      <c r="K12" s="31">
        <v>7415.66289405572</v>
      </c>
      <c r="L12" s="32"/>
      <c r="M12" s="20">
        <f t="shared" si="4"/>
        <v>0</v>
      </c>
      <c r="N12" s="32">
        <f t="shared" si="5"/>
        <v>-0.246575342465753</v>
      </c>
      <c r="O12" s="31">
        <v>2595.4820129195</v>
      </c>
      <c r="P12" s="33"/>
      <c r="Q12" s="33">
        <f t="shared" si="26"/>
        <v>0</v>
      </c>
      <c r="R12" s="31">
        <v>531.20930202405</v>
      </c>
      <c r="S12" s="38">
        <f>VLOOKUP(B12,[1]自有品牌手机收入!$F$2:$G$23,2,0)/10000</f>
        <v>123.179749</v>
      </c>
      <c r="T12" s="20">
        <f t="shared" si="6"/>
        <v>0.940424637681277</v>
      </c>
      <c r="U12" s="32">
        <f t="shared" si="7"/>
        <v>-0.0146898153662605</v>
      </c>
      <c r="V12" s="39">
        <v>185.923255708417</v>
      </c>
      <c r="W12" s="33">
        <f t="shared" si="8"/>
        <v>123.179749</v>
      </c>
      <c r="X12" s="33">
        <f t="shared" si="9"/>
        <v>9.93795116140684</v>
      </c>
      <c r="Y12" s="31">
        <v>2296.82661426958</v>
      </c>
      <c r="Z12" s="38">
        <f>VLOOKUP(B12,'[1]自有品牌智能硬件收入（已加配额制摊分）'!$H$2:$I$23,2,0)/10000</f>
        <v>1097.06413844828</v>
      </c>
      <c r="AA12" s="20">
        <f t="shared" si="10"/>
        <v>1.93710945956606</v>
      </c>
      <c r="AB12" s="32">
        <f t="shared" si="11"/>
        <v>0.231068085920398</v>
      </c>
      <c r="AC12" s="31">
        <v>803.889314994351</v>
      </c>
      <c r="AD12" s="33">
        <f t="shared" si="12"/>
        <v>1097.06413844828</v>
      </c>
      <c r="AE12" s="38">
        <f t="shared" si="13"/>
        <v>10</v>
      </c>
      <c r="AF12" s="31">
        <v>350.463108003545</v>
      </c>
      <c r="AG12" s="38">
        <f>VLOOKUP(B12,[1]非配额自有品牌智能硬件收入!$G$2:$H$23,2,0)/10000</f>
        <v>25.771035</v>
      </c>
      <c r="AH12" s="38">
        <f t="shared" si="14"/>
        <v>0.298222157424939</v>
      </c>
      <c r="AI12" s="32">
        <f t="shared" si="15"/>
        <v>-0.173041111867823</v>
      </c>
      <c r="AJ12" s="50">
        <v>122.662087801241</v>
      </c>
      <c r="AK12" s="38">
        <f t="shared" si="16"/>
        <v>25.771035</v>
      </c>
      <c r="AL12" s="38">
        <f t="shared" si="17"/>
        <v>0</v>
      </c>
      <c r="AM12" s="48" t="s">
        <v>84</v>
      </c>
      <c r="AN12" s="49">
        <v>3.43509615384615</v>
      </c>
      <c r="AO12" s="61">
        <v>31</v>
      </c>
      <c r="AP12" s="61">
        <v>31</v>
      </c>
      <c r="AQ12" s="62">
        <f>VLOOKUP(B12,[1]渠道类指标!$B$2:$F$22,5,0)</f>
        <v>35</v>
      </c>
      <c r="AR12" s="63">
        <f t="shared" si="18"/>
        <v>1.12903225806452</v>
      </c>
      <c r="AS12" s="20">
        <f t="shared" si="19"/>
        <v>8</v>
      </c>
      <c r="AT12" s="64">
        <v>14574.1386</v>
      </c>
      <c r="AU12" s="64">
        <v>5101</v>
      </c>
      <c r="AV12" s="65">
        <f>VLOOKUP(B12,[1]渠道类指标!$B$2:$F$22,4,0)</f>
        <v>16686</v>
      </c>
      <c r="AW12" s="63">
        <f t="shared" si="20"/>
        <v>3.27112330915507</v>
      </c>
      <c r="AX12" s="20">
        <f t="shared" si="21"/>
        <v>8</v>
      </c>
      <c r="AY12" s="70">
        <v>0.3</v>
      </c>
      <c r="AZ12" s="70">
        <v>0.09</v>
      </c>
      <c r="BA12" s="70"/>
      <c r="BB12" s="33">
        <f t="shared" si="22"/>
        <v>0</v>
      </c>
      <c r="BC12" s="71"/>
      <c r="BD12" s="33">
        <f t="shared" si="23"/>
        <v>0</v>
      </c>
      <c r="BE12" s="19">
        <v>0.025</v>
      </c>
      <c r="BF12" s="19">
        <v>0.025</v>
      </c>
      <c r="BG12" s="78"/>
      <c r="BH12" s="33">
        <f t="shared" si="24"/>
        <v>0</v>
      </c>
      <c r="BI12" s="79">
        <f t="shared" si="25"/>
        <v>0</v>
      </c>
      <c r="BJ12" s="80"/>
      <c r="BK12" s="81"/>
      <c r="BL12" s="82"/>
      <c r="BM12" s="88"/>
      <c r="BN12" s="92"/>
      <c r="BO12" s="93">
        <v>185.923255708417</v>
      </c>
      <c r="BP12" s="2"/>
      <c r="BQ12" s="93">
        <v>0.79</v>
      </c>
      <c r="BR12" s="2"/>
      <c r="BS12" s="2"/>
      <c r="BT12" s="2"/>
    </row>
    <row r="13" spans="1:72">
      <c r="A13" s="17" t="s">
        <v>90</v>
      </c>
      <c r="B13" s="18" t="s">
        <v>95</v>
      </c>
      <c r="C13" s="19">
        <v>0.048</v>
      </c>
      <c r="D13" s="18"/>
      <c r="E13" s="18">
        <f t="shared" si="0"/>
        <v>0</v>
      </c>
      <c r="F13" s="20">
        <f t="shared" si="1"/>
        <v>0</v>
      </c>
      <c r="G13" s="19">
        <v>0.02</v>
      </c>
      <c r="H13" s="18"/>
      <c r="I13" s="18">
        <f t="shared" si="2"/>
        <v>0</v>
      </c>
      <c r="J13" s="20">
        <f t="shared" si="3"/>
        <v>0</v>
      </c>
      <c r="K13" s="31">
        <v>5115.10991947813</v>
      </c>
      <c r="L13" s="32"/>
      <c r="M13" s="20">
        <f t="shared" si="4"/>
        <v>0</v>
      </c>
      <c r="N13" s="32">
        <f t="shared" si="5"/>
        <v>-0.246575342465753</v>
      </c>
      <c r="O13" s="31">
        <v>1790.28847181734</v>
      </c>
      <c r="P13" s="33"/>
      <c r="Q13" s="33">
        <f t="shared" si="26"/>
        <v>0</v>
      </c>
      <c r="R13" s="31">
        <v>474.896506548549</v>
      </c>
      <c r="S13" s="38">
        <f>VLOOKUP(B13,[1]自有品牌手机收入!$F$2:$G$23,2,0)/10000</f>
        <v>91.971036</v>
      </c>
      <c r="T13" s="20">
        <f t="shared" si="6"/>
        <v>0.785420909306834</v>
      </c>
      <c r="U13" s="32">
        <f t="shared" si="7"/>
        <v>-0.0529099127736573</v>
      </c>
      <c r="V13" s="39">
        <v>166.213777291992</v>
      </c>
      <c r="W13" s="33">
        <f t="shared" si="8"/>
        <v>91.971036</v>
      </c>
      <c r="X13" s="33">
        <f t="shared" si="9"/>
        <v>0</v>
      </c>
      <c r="Y13" s="31">
        <v>1649.05259233611</v>
      </c>
      <c r="Z13" s="38">
        <f>VLOOKUP(B13,'[1]自有品牌智能硬件收入（已加配额制摊分）'!$H$2:$I$23,2,0)/10000</f>
        <v>850.847363517243</v>
      </c>
      <c r="AA13" s="20">
        <f t="shared" si="10"/>
        <v>2.09250982538635</v>
      </c>
      <c r="AB13" s="32">
        <f t="shared" si="11"/>
        <v>0.269385984341841</v>
      </c>
      <c r="AC13" s="31">
        <v>577.168407317639</v>
      </c>
      <c r="AD13" s="33">
        <f t="shared" si="12"/>
        <v>850.847363517243</v>
      </c>
      <c r="AE13" s="38">
        <f t="shared" si="13"/>
        <v>10</v>
      </c>
      <c r="AF13" s="31">
        <v>258.912417416174</v>
      </c>
      <c r="AG13" s="38">
        <f>VLOOKUP(B13,[1]非配额自有品牌智能硬件收入!$G$2:$H$23,2,0)/10000</f>
        <v>166.128398000002</v>
      </c>
      <c r="AH13" s="38">
        <f t="shared" si="14"/>
        <v>2.60220407413477</v>
      </c>
      <c r="AI13" s="32">
        <f t="shared" si="15"/>
        <v>0.395064018279806</v>
      </c>
      <c r="AJ13" s="50">
        <v>90.619346095661</v>
      </c>
      <c r="AK13" s="38">
        <f t="shared" si="16"/>
        <v>166.128398000002</v>
      </c>
      <c r="AL13" s="38">
        <f t="shared" si="17"/>
        <v>10</v>
      </c>
      <c r="AM13" s="48" t="s">
        <v>84</v>
      </c>
      <c r="AN13" s="49">
        <v>2.91227250062329</v>
      </c>
      <c r="AO13" s="61">
        <v>15</v>
      </c>
      <c r="AP13" s="61">
        <v>15</v>
      </c>
      <c r="AQ13" s="62">
        <f>VLOOKUP(B13,[1]渠道类指标!$B$2:$F$22,5,0)</f>
        <v>17</v>
      </c>
      <c r="AR13" s="63">
        <f t="shared" si="18"/>
        <v>1.13333333333333</v>
      </c>
      <c r="AS13" s="20">
        <f t="shared" si="19"/>
        <v>8</v>
      </c>
      <c r="AT13" s="64">
        <v>21475.425</v>
      </c>
      <c r="AU13" s="64">
        <v>7516</v>
      </c>
      <c r="AV13" s="65">
        <f>VLOOKUP(B13,[1]渠道类指标!$B$2:$F$22,4,0)</f>
        <v>6756</v>
      </c>
      <c r="AW13" s="63">
        <f t="shared" si="20"/>
        <v>0.89888238424694</v>
      </c>
      <c r="AX13" s="20">
        <f t="shared" si="21"/>
        <v>7.19105907397552</v>
      </c>
      <c r="AY13" s="70">
        <v>0.14</v>
      </c>
      <c r="AZ13" s="70">
        <v>0.042</v>
      </c>
      <c r="BA13" s="70"/>
      <c r="BB13" s="33">
        <f t="shared" si="22"/>
        <v>0</v>
      </c>
      <c r="BC13" s="71"/>
      <c r="BD13" s="33">
        <f t="shared" si="23"/>
        <v>0</v>
      </c>
      <c r="BE13" s="19">
        <v>0.025</v>
      </c>
      <c r="BF13" s="19">
        <v>0.025</v>
      </c>
      <c r="BG13" s="78"/>
      <c r="BH13" s="33">
        <f t="shared" si="24"/>
        <v>0</v>
      </c>
      <c r="BI13" s="79">
        <f t="shared" si="25"/>
        <v>0</v>
      </c>
      <c r="BJ13" s="80"/>
      <c r="BK13" s="81"/>
      <c r="BL13" s="82"/>
      <c r="BM13" s="88"/>
      <c r="BN13" s="92"/>
      <c r="BO13" s="93">
        <v>166.213777291992</v>
      </c>
      <c r="BP13" s="2"/>
      <c r="BQ13" s="93">
        <v>0.59</v>
      </c>
      <c r="BR13" s="2"/>
      <c r="BS13" s="2"/>
      <c r="BT13" s="2"/>
    </row>
    <row r="14" spans="1:72">
      <c r="A14" s="17" t="s">
        <v>90</v>
      </c>
      <c r="B14" s="18" t="s">
        <v>96</v>
      </c>
      <c r="C14" s="19">
        <v>0.048</v>
      </c>
      <c r="D14" s="18"/>
      <c r="E14" s="18">
        <f t="shared" si="0"/>
        <v>0</v>
      </c>
      <c r="F14" s="20">
        <f t="shared" si="1"/>
        <v>0</v>
      </c>
      <c r="G14" s="19">
        <v>0.02</v>
      </c>
      <c r="H14" s="18"/>
      <c r="I14" s="18">
        <f t="shared" si="2"/>
        <v>0</v>
      </c>
      <c r="J14" s="20">
        <f t="shared" si="3"/>
        <v>0</v>
      </c>
      <c r="K14" s="31">
        <v>5057.35753510149</v>
      </c>
      <c r="L14" s="32"/>
      <c r="M14" s="20">
        <f t="shared" si="4"/>
        <v>0</v>
      </c>
      <c r="N14" s="32">
        <f t="shared" si="5"/>
        <v>-0.246575342465753</v>
      </c>
      <c r="O14" s="31">
        <v>1770.07513728552</v>
      </c>
      <c r="P14" s="33"/>
      <c r="Q14" s="33">
        <f t="shared" si="26"/>
        <v>0</v>
      </c>
      <c r="R14" s="31">
        <v>133.348124838702</v>
      </c>
      <c r="S14" s="38">
        <f>VLOOKUP(B14,[1]自有品牌手机收入!$F$2:$G$23,2,0)/10000</f>
        <v>23.976644</v>
      </c>
      <c r="T14" s="20">
        <f t="shared" si="6"/>
        <v>0.729208692626147</v>
      </c>
      <c r="U14" s="32">
        <f t="shared" si="7"/>
        <v>-0.066770459352457</v>
      </c>
      <c r="V14" s="39">
        <v>46.6718436935455</v>
      </c>
      <c r="W14" s="33">
        <f t="shared" si="8"/>
        <v>23.976644</v>
      </c>
      <c r="X14" s="33">
        <f t="shared" si="9"/>
        <v>0</v>
      </c>
      <c r="Y14" s="31">
        <v>1224.14465085877</v>
      </c>
      <c r="Z14" s="38">
        <f>VLOOKUP(B14,'[1]自有品牌智能硬件收入（已加配额制摊分）'!$H$2:$I$23,2,0)/10000</f>
        <v>453.747241517241</v>
      </c>
      <c r="AA14" s="20">
        <f t="shared" si="10"/>
        <v>1.5032513885204</v>
      </c>
      <c r="AB14" s="32">
        <f t="shared" si="11"/>
        <v>0.124089383470782</v>
      </c>
      <c r="AC14" s="31">
        <v>428.450627800569</v>
      </c>
      <c r="AD14" s="33">
        <f t="shared" si="12"/>
        <v>453.747241517241</v>
      </c>
      <c r="AE14" s="38">
        <f t="shared" si="13"/>
        <v>10</v>
      </c>
      <c r="AF14" s="31">
        <v>186.965808820038</v>
      </c>
      <c r="AG14" s="38">
        <f>VLOOKUP(B14,[1]非配额自有品牌智能硬件收入!$G$2:$H$23,2,0)/10000</f>
        <v>0.003276</v>
      </c>
      <c r="AH14" s="38">
        <f t="shared" si="14"/>
        <v>7.10611211956316e-5</v>
      </c>
      <c r="AI14" s="32">
        <f t="shared" si="15"/>
        <v>-0.246557820545459</v>
      </c>
      <c r="AJ14" s="50">
        <v>65.4380330870133</v>
      </c>
      <c r="AK14" s="38">
        <f t="shared" si="16"/>
        <v>0.003276</v>
      </c>
      <c r="AL14" s="38">
        <f t="shared" si="17"/>
        <v>0</v>
      </c>
      <c r="AM14" s="48" t="s">
        <v>84</v>
      </c>
      <c r="AN14" s="49">
        <v>3.58152190061558</v>
      </c>
      <c r="AO14" s="61">
        <v>10</v>
      </c>
      <c r="AP14" s="61">
        <v>10</v>
      </c>
      <c r="AQ14" s="62">
        <f>VLOOKUP(B14,[1]渠道类指标!$B$2:$F$22,5,0)</f>
        <v>12</v>
      </c>
      <c r="AR14" s="63">
        <f t="shared" si="18"/>
        <v>1.2</v>
      </c>
      <c r="AS14" s="20">
        <f t="shared" si="19"/>
        <v>8</v>
      </c>
      <c r="AT14" s="64">
        <v>1690</v>
      </c>
      <c r="AU14" s="64">
        <v>592</v>
      </c>
      <c r="AV14" s="65">
        <f>VLOOKUP(B14,[1]渠道类指标!$B$2:$F$22,4,0)</f>
        <v>58</v>
      </c>
      <c r="AW14" s="63">
        <f t="shared" si="20"/>
        <v>0.097972972972973</v>
      </c>
      <c r="AX14" s="20">
        <f t="shared" si="21"/>
        <v>0</v>
      </c>
      <c r="AY14" s="70">
        <v>0.12</v>
      </c>
      <c r="AZ14" s="70">
        <v>0.036</v>
      </c>
      <c r="BA14" s="70"/>
      <c r="BB14" s="33">
        <f t="shared" si="22"/>
        <v>0</v>
      </c>
      <c r="BC14" s="71"/>
      <c r="BD14" s="33">
        <f t="shared" si="23"/>
        <v>0</v>
      </c>
      <c r="BE14" s="19">
        <v>0.025</v>
      </c>
      <c r="BF14" s="19">
        <v>0.025</v>
      </c>
      <c r="BG14" s="78"/>
      <c r="BH14" s="33">
        <f t="shared" si="24"/>
        <v>0</v>
      </c>
      <c r="BI14" s="79">
        <f t="shared" si="25"/>
        <v>0</v>
      </c>
      <c r="BJ14" s="80"/>
      <c r="BK14" s="81"/>
      <c r="BL14" s="82"/>
      <c r="BM14" s="88"/>
      <c r="BN14" s="92"/>
      <c r="BO14" s="93">
        <v>46.6718436935455</v>
      </c>
      <c r="BP14" s="2"/>
      <c r="BQ14" s="93">
        <v>0.44</v>
      </c>
      <c r="BR14" s="2"/>
      <c r="BS14" s="2"/>
      <c r="BT14" s="2"/>
    </row>
    <row r="15" spans="1:72">
      <c r="A15" s="17" t="s">
        <v>90</v>
      </c>
      <c r="B15" s="18" t="s">
        <v>97</v>
      </c>
      <c r="C15" s="21">
        <v>0.048</v>
      </c>
      <c r="D15" s="18"/>
      <c r="E15" s="18">
        <f t="shared" si="0"/>
        <v>0</v>
      </c>
      <c r="F15" s="20">
        <f t="shared" si="1"/>
        <v>0</v>
      </c>
      <c r="G15" s="21">
        <v>0.02</v>
      </c>
      <c r="H15" s="18"/>
      <c r="I15" s="18">
        <f t="shared" si="2"/>
        <v>0</v>
      </c>
      <c r="J15" s="20">
        <f t="shared" si="3"/>
        <v>0</v>
      </c>
      <c r="K15" s="31">
        <f>SUM(K9:K14)</f>
        <v>169879.020746403</v>
      </c>
      <c r="L15" s="32"/>
      <c r="M15" s="20">
        <f t="shared" si="4"/>
        <v>0</v>
      </c>
      <c r="N15" s="32">
        <f t="shared" si="5"/>
        <v>-0.246575342465753</v>
      </c>
      <c r="O15" s="31">
        <f>SUM(O9:O14)</f>
        <v>59457.6572612411</v>
      </c>
      <c r="P15" s="33"/>
      <c r="Q15" s="31">
        <f>SUM(Q9:Q14)</f>
        <v>0</v>
      </c>
      <c r="R15" s="31">
        <v>3635.82549648772</v>
      </c>
      <c r="S15" s="38">
        <f>SUM(S9:S14)</f>
        <v>604.284543000001</v>
      </c>
      <c r="T15" s="20">
        <f t="shared" si="6"/>
        <v>0.674044873129209</v>
      </c>
      <c r="U15" s="32">
        <f t="shared" si="7"/>
        <v>-0.0803724970366335</v>
      </c>
      <c r="V15" s="39">
        <v>1272.5389237707</v>
      </c>
      <c r="W15" s="33">
        <f t="shared" si="8"/>
        <v>604.284543000001</v>
      </c>
      <c r="X15" s="33">
        <f t="shared" si="9"/>
        <v>0</v>
      </c>
      <c r="Y15" s="31">
        <f>SUM(Y9:Y14)</f>
        <v>19042.6318346089</v>
      </c>
      <c r="Z15" s="38">
        <f>SUM(Z9:Z14)</f>
        <v>9471.75284310345</v>
      </c>
      <c r="AA15" s="20">
        <f t="shared" si="10"/>
        <v>2.01722220947861</v>
      </c>
      <c r="AB15" s="32">
        <f t="shared" si="11"/>
        <v>0.250821914665958</v>
      </c>
      <c r="AC15" s="31">
        <f>SUM(AC9:AC14)</f>
        <v>6664.9211421131</v>
      </c>
      <c r="AD15" s="33">
        <f t="shared" si="12"/>
        <v>9471.75284310345</v>
      </c>
      <c r="AE15" s="38">
        <f t="shared" si="13"/>
        <v>10</v>
      </c>
      <c r="AF15" s="31">
        <f>SUM(AF9:AF14)</f>
        <v>3351.45227770367</v>
      </c>
      <c r="AG15" s="50">
        <f>SUM(AG9:AG14)</f>
        <v>441.522420000002</v>
      </c>
      <c r="AH15" s="38">
        <f t="shared" si="14"/>
        <v>0.534281426367267</v>
      </c>
      <c r="AI15" s="32">
        <f t="shared" si="15"/>
        <v>-0.114834716786153</v>
      </c>
      <c r="AJ15" s="50">
        <f>SUM(AJ9:AJ14)</f>
        <v>1173.00829719628</v>
      </c>
      <c r="AK15" s="38">
        <f t="shared" si="16"/>
        <v>441.522420000002</v>
      </c>
      <c r="AL15" s="38">
        <f t="shared" si="17"/>
        <v>0</v>
      </c>
      <c r="AM15" s="48" t="s">
        <v>84</v>
      </c>
      <c r="AN15" s="51">
        <f>SUM(AN9:AN14)</f>
        <v>17.9719623386629</v>
      </c>
      <c r="AO15" s="61">
        <f>SUM(AO9:AO14)</f>
        <v>165</v>
      </c>
      <c r="AP15" s="61">
        <f>SUM(AP9:AP14)</f>
        <v>165</v>
      </c>
      <c r="AQ15" s="61">
        <f>SUM(AQ9:AQ14)</f>
        <v>201</v>
      </c>
      <c r="AR15" s="63">
        <f t="shared" si="18"/>
        <v>1.21818181818182</v>
      </c>
      <c r="AS15" s="20">
        <f t="shared" si="19"/>
        <v>8</v>
      </c>
      <c r="AT15" s="64">
        <f>SUM(AT9:AT14)</f>
        <v>256149.4486</v>
      </c>
      <c r="AU15" s="64">
        <f>SUM(AU9:AU14)</f>
        <v>89653</v>
      </c>
      <c r="AV15" s="64">
        <f>SUM(AV9:AV14)</f>
        <v>33375</v>
      </c>
      <c r="AW15" s="63">
        <f t="shared" si="20"/>
        <v>0.37226863574002</v>
      </c>
      <c r="AX15" s="20">
        <f t="shared" si="21"/>
        <v>0</v>
      </c>
      <c r="AY15" s="70">
        <f>SUM(AY9:AY14)</f>
        <v>3.18</v>
      </c>
      <c r="AZ15" s="70">
        <f>SUM(AZ9:AZ14)</f>
        <v>0.954</v>
      </c>
      <c r="BA15" s="70"/>
      <c r="BB15" s="33">
        <f t="shared" si="22"/>
        <v>0</v>
      </c>
      <c r="BC15" s="71"/>
      <c r="BD15" s="33">
        <f t="shared" si="23"/>
        <v>0</v>
      </c>
      <c r="BE15" s="21">
        <v>0.025</v>
      </c>
      <c r="BF15" s="21">
        <v>0.025</v>
      </c>
      <c r="BG15" s="78"/>
      <c r="BH15" s="33">
        <f t="shared" si="24"/>
        <v>0</v>
      </c>
      <c r="BI15" s="79">
        <f t="shared" si="25"/>
        <v>0</v>
      </c>
      <c r="BJ15" s="80"/>
      <c r="BK15" s="81"/>
      <c r="BL15" s="82"/>
      <c r="BM15" s="88"/>
      <c r="BN15" s="92"/>
      <c r="BO15" s="93">
        <v>1272.5389237707</v>
      </c>
      <c r="BP15" s="2"/>
      <c r="BQ15" s="93">
        <f>SUM(BQ9:BQ14)</f>
        <v>8.63</v>
      </c>
      <c r="BR15" s="2"/>
      <c r="BS15" s="2"/>
      <c r="BT15" s="2"/>
    </row>
    <row r="16" spans="1:72">
      <c r="A16" s="17" t="s">
        <v>98</v>
      </c>
      <c r="B16" s="18" t="s">
        <v>99</v>
      </c>
      <c r="C16" s="19">
        <v>0.048</v>
      </c>
      <c r="D16" s="18"/>
      <c r="E16" s="18">
        <f t="shared" si="0"/>
        <v>0</v>
      </c>
      <c r="F16" s="20">
        <f t="shared" si="1"/>
        <v>0</v>
      </c>
      <c r="G16" s="19">
        <v>0.02</v>
      </c>
      <c r="H16" s="18"/>
      <c r="I16" s="18">
        <f t="shared" si="2"/>
        <v>0</v>
      </c>
      <c r="J16" s="20">
        <f t="shared" si="3"/>
        <v>0</v>
      </c>
      <c r="K16" s="31">
        <v>77462.9736832705</v>
      </c>
      <c r="L16" s="32"/>
      <c r="M16" s="20">
        <f t="shared" si="4"/>
        <v>0</v>
      </c>
      <c r="N16" s="32">
        <f t="shared" si="5"/>
        <v>-0.246575342465753</v>
      </c>
      <c r="O16" s="31">
        <v>27112.0407891447</v>
      </c>
      <c r="P16" s="33"/>
      <c r="Q16" s="33">
        <f>MIN(15,IF(P16/O16&lt;0.6,0,P16/O16*15))</f>
        <v>0</v>
      </c>
      <c r="R16" s="31">
        <v>1215.43868639392</v>
      </c>
      <c r="S16" s="38">
        <f>VLOOKUP(B16,[1]自有品牌手机收入!$F$2:$G$23,2,0)/10000</f>
        <v>22.74087</v>
      </c>
      <c r="T16" s="20">
        <f t="shared" si="6"/>
        <v>0.0758794850773546</v>
      </c>
      <c r="U16" s="32">
        <f t="shared" si="7"/>
        <v>-0.22786533244668</v>
      </c>
      <c r="V16" s="39">
        <v>425.403540237871</v>
      </c>
      <c r="W16" s="33">
        <f t="shared" si="8"/>
        <v>22.74087</v>
      </c>
      <c r="X16" s="33">
        <f t="shared" si="9"/>
        <v>0</v>
      </c>
      <c r="Y16" s="31">
        <v>5797.19723227909</v>
      </c>
      <c r="Z16" s="38">
        <f>VLOOKUP(B16,'[1]自有品牌智能硬件收入（已加配额制摊分）'!$H$2:$I$23,2,0)/10000</f>
        <v>2679.78640782759</v>
      </c>
      <c r="AA16" s="20">
        <f t="shared" si="10"/>
        <v>1.87470293290243</v>
      </c>
      <c r="AB16" s="32">
        <f t="shared" si="11"/>
        <v>0.215680175236215</v>
      </c>
      <c r="AC16" s="31">
        <v>2029.01903129768</v>
      </c>
      <c r="AD16" s="33">
        <f t="shared" si="12"/>
        <v>2679.78640782759</v>
      </c>
      <c r="AE16" s="38">
        <f t="shared" si="13"/>
        <v>10</v>
      </c>
      <c r="AF16" s="31">
        <v>1112.56055112364</v>
      </c>
      <c r="AG16" s="38">
        <f>VLOOKUP(B16,[1]非配额自有品牌智能硬件收入!$G$2:$H$23,2,0)/10000</f>
        <v>10.808563</v>
      </c>
      <c r="AH16" s="38">
        <f t="shared" si="14"/>
        <v>0.0393998579924043</v>
      </c>
      <c r="AI16" s="32">
        <f t="shared" si="15"/>
        <v>-0.236860308988174</v>
      </c>
      <c r="AJ16" s="50">
        <v>389.396192893272</v>
      </c>
      <c r="AK16" s="38">
        <f t="shared" si="16"/>
        <v>10.808563</v>
      </c>
      <c r="AL16" s="38">
        <f t="shared" si="17"/>
        <v>0</v>
      </c>
      <c r="AM16" s="48" t="s">
        <v>84</v>
      </c>
      <c r="AN16" s="49">
        <v>1.25181779298546</v>
      </c>
      <c r="AO16" s="61">
        <v>49</v>
      </c>
      <c r="AP16" s="61">
        <v>49</v>
      </c>
      <c r="AQ16" s="62">
        <f>VLOOKUP(B16,[1]渠道类指标!$B$2:$F$22,5,0)</f>
        <v>131</v>
      </c>
      <c r="AR16" s="63">
        <f t="shared" si="18"/>
        <v>2.6734693877551</v>
      </c>
      <c r="AS16" s="20">
        <f t="shared" si="19"/>
        <v>8</v>
      </c>
      <c r="AT16" s="64">
        <v>162093.7175</v>
      </c>
      <c r="AU16" s="64">
        <v>56733</v>
      </c>
      <c r="AV16" s="65">
        <f>VLOOKUP(B16,[1]渠道类指标!$B$2:$F$22,4,0)</f>
        <v>8192</v>
      </c>
      <c r="AW16" s="63">
        <f t="shared" si="20"/>
        <v>0.144395678000458</v>
      </c>
      <c r="AX16" s="20">
        <f t="shared" si="21"/>
        <v>0</v>
      </c>
      <c r="AY16" s="70">
        <v>0.86</v>
      </c>
      <c r="AZ16" s="70">
        <v>0.258</v>
      </c>
      <c r="BA16" s="70"/>
      <c r="BB16" s="33">
        <f t="shared" si="22"/>
        <v>0</v>
      </c>
      <c r="BC16" s="71"/>
      <c r="BD16" s="33">
        <f t="shared" si="23"/>
        <v>0</v>
      </c>
      <c r="BE16" s="19">
        <v>0.025</v>
      </c>
      <c r="BF16" s="19">
        <v>0.025</v>
      </c>
      <c r="BG16" s="78"/>
      <c r="BH16" s="33">
        <f t="shared" si="24"/>
        <v>0</v>
      </c>
      <c r="BI16" s="79">
        <f t="shared" si="25"/>
        <v>0</v>
      </c>
      <c r="BJ16" s="80"/>
      <c r="BK16" s="81"/>
      <c r="BL16" s="82"/>
      <c r="BM16" s="88"/>
      <c r="BN16" s="92"/>
      <c r="BO16" s="93">
        <v>425.403540237871</v>
      </c>
      <c r="BP16" s="2"/>
      <c r="BQ16" s="93">
        <v>3.05</v>
      </c>
      <c r="BR16" s="2"/>
      <c r="BS16" s="2"/>
      <c r="BT16" s="2"/>
    </row>
    <row r="17" spans="1:72">
      <c r="A17" s="17" t="s">
        <v>98</v>
      </c>
      <c r="B17" s="18" t="s">
        <v>100</v>
      </c>
      <c r="C17" s="19">
        <v>0.048</v>
      </c>
      <c r="D17" s="18"/>
      <c r="E17" s="18">
        <f t="shared" si="0"/>
        <v>0</v>
      </c>
      <c r="F17" s="20">
        <f t="shared" si="1"/>
        <v>0</v>
      </c>
      <c r="G17" s="19">
        <v>0.02</v>
      </c>
      <c r="H17" s="18"/>
      <c r="I17" s="18">
        <f t="shared" si="2"/>
        <v>0</v>
      </c>
      <c r="J17" s="20">
        <f t="shared" si="3"/>
        <v>0</v>
      </c>
      <c r="K17" s="31">
        <v>10112.0804230017</v>
      </c>
      <c r="L17" s="32"/>
      <c r="M17" s="20">
        <f t="shared" si="4"/>
        <v>0</v>
      </c>
      <c r="N17" s="32">
        <f t="shared" si="5"/>
        <v>-0.246575342465753</v>
      </c>
      <c r="O17" s="31">
        <v>3539.2281480506</v>
      </c>
      <c r="P17" s="33"/>
      <c r="Q17" s="33">
        <f>MIN(15,IF(P17/O17&lt;0.6,0,P17/O17*15))</f>
        <v>0</v>
      </c>
      <c r="R17" s="31">
        <v>843.282107460534</v>
      </c>
      <c r="S17" s="38">
        <f>VLOOKUP(B17,[1]自有品牌手机收入!$F$2:$G$23,2,0)/10000</f>
        <v>26.376398</v>
      </c>
      <c r="T17" s="20">
        <f t="shared" si="6"/>
        <v>0.126850725869872</v>
      </c>
      <c r="U17" s="32">
        <f t="shared" si="7"/>
        <v>-0.21529708129236</v>
      </c>
      <c r="V17" s="39">
        <v>295.148737611187</v>
      </c>
      <c r="W17" s="33">
        <f t="shared" si="8"/>
        <v>26.376398</v>
      </c>
      <c r="X17" s="33">
        <f t="shared" si="9"/>
        <v>0</v>
      </c>
      <c r="Y17" s="31">
        <v>3459.43539385059</v>
      </c>
      <c r="Z17" s="38">
        <f>VLOOKUP(B17,'[1]自有品牌智能硬件收入（已加配额制摊分）'!$H$2:$I$23,2,0)/10000</f>
        <v>364.670769931035</v>
      </c>
      <c r="AA17" s="20">
        <f t="shared" si="10"/>
        <v>0.42750980971388</v>
      </c>
      <c r="AB17" s="32">
        <f t="shared" si="11"/>
        <v>-0.141161964728084</v>
      </c>
      <c r="AC17" s="31">
        <v>1210.80238784771</v>
      </c>
      <c r="AD17" s="33">
        <f t="shared" si="12"/>
        <v>364.670769931035</v>
      </c>
      <c r="AE17" s="38">
        <f t="shared" si="13"/>
        <v>0</v>
      </c>
      <c r="AF17" s="31">
        <v>605.292324651226</v>
      </c>
      <c r="AG17" s="38">
        <f>VLOOKUP(B17,[1]非配额自有品牌智能硬件收入!$G$2:$H$23,2,0)/10000</f>
        <v>5.69663200000001</v>
      </c>
      <c r="AH17" s="38">
        <f t="shared" si="14"/>
        <v>0.0381683471186715</v>
      </c>
      <c r="AI17" s="32">
        <f t="shared" si="15"/>
        <v>-0.237163969203615</v>
      </c>
      <c r="AJ17" s="50">
        <v>211.852313627929</v>
      </c>
      <c r="AK17" s="38">
        <f t="shared" si="16"/>
        <v>5.69663200000001</v>
      </c>
      <c r="AL17" s="38">
        <f t="shared" si="17"/>
        <v>0</v>
      </c>
      <c r="AM17" s="48" t="s">
        <v>84</v>
      </c>
      <c r="AN17" s="49">
        <v>3.32139501494988</v>
      </c>
      <c r="AO17" s="61">
        <v>23</v>
      </c>
      <c r="AP17" s="61">
        <v>23</v>
      </c>
      <c r="AQ17" s="62">
        <f>VLOOKUP(B17,[1]渠道类指标!$B$2:$F$22,5,0)</f>
        <v>39</v>
      </c>
      <c r="AR17" s="63">
        <f t="shared" si="18"/>
        <v>1.69565217391304</v>
      </c>
      <c r="AS17" s="20">
        <f t="shared" si="19"/>
        <v>8</v>
      </c>
      <c r="AT17" s="64">
        <v>38377</v>
      </c>
      <c r="AU17" s="64">
        <v>13432</v>
      </c>
      <c r="AV17" s="65">
        <f>VLOOKUP(B17,[1]渠道类指标!$B$2:$F$22,4,0)</f>
        <v>9234</v>
      </c>
      <c r="AW17" s="63">
        <f t="shared" si="20"/>
        <v>0.687462775461584</v>
      </c>
      <c r="AX17" s="20">
        <f t="shared" si="21"/>
        <v>0</v>
      </c>
      <c r="AY17" s="70">
        <v>0.54</v>
      </c>
      <c r="AZ17" s="70">
        <v>0.162</v>
      </c>
      <c r="BA17" s="70"/>
      <c r="BB17" s="33">
        <f t="shared" si="22"/>
        <v>0</v>
      </c>
      <c r="BC17" s="71"/>
      <c r="BD17" s="33">
        <f t="shared" si="23"/>
        <v>0</v>
      </c>
      <c r="BE17" s="19">
        <v>0.025</v>
      </c>
      <c r="BF17" s="19">
        <v>0.025</v>
      </c>
      <c r="BG17" s="78"/>
      <c r="BH17" s="33">
        <f t="shared" si="24"/>
        <v>0</v>
      </c>
      <c r="BI17" s="79">
        <f t="shared" si="25"/>
        <v>0</v>
      </c>
      <c r="BJ17" s="80"/>
      <c r="BK17" s="81"/>
      <c r="BL17" s="82"/>
      <c r="BM17" s="88"/>
      <c r="BN17" s="92"/>
      <c r="BO17" s="93">
        <v>295.148737611187</v>
      </c>
      <c r="BP17" s="2"/>
      <c r="BQ17" s="93">
        <v>1.53</v>
      </c>
      <c r="BR17" s="2"/>
      <c r="BS17" s="2"/>
      <c r="BT17" s="2"/>
    </row>
    <row r="18" spans="1:72">
      <c r="A18" s="17" t="s">
        <v>98</v>
      </c>
      <c r="B18" s="18" t="s">
        <v>101</v>
      </c>
      <c r="C18" s="19">
        <v>0.048</v>
      </c>
      <c r="D18" s="18"/>
      <c r="E18" s="18">
        <f t="shared" si="0"/>
        <v>0</v>
      </c>
      <c r="F18" s="20">
        <f t="shared" si="1"/>
        <v>0</v>
      </c>
      <c r="G18" s="19">
        <v>0.02</v>
      </c>
      <c r="H18" s="18"/>
      <c r="I18" s="18">
        <f t="shared" si="2"/>
        <v>0</v>
      </c>
      <c r="J18" s="20">
        <f t="shared" si="3"/>
        <v>0</v>
      </c>
      <c r="K18" s="31">
        <v>14978.2869628111</v>
      </c>
      <c r="L18" s="32"/>
      <c r="M18" s="20">
        <f t="shared" si="4"/>
        <v>0</v>
      </c>
      <c r="N18" s="32">
        <f t="shared" si="5"/>
        <v>-0.246575342465753</v>
      </c>
      <c r="O18" s="31">
        <v>5242.40043698388</v>
      </c>
      <c r="P18" s="33"/>
      <c r="Q18" s="33">
        <f>MIN(15,IF(P18/O18&lt;0.6,0,P18/O18*15))</f>
        <v>0</v>
      </c>
      <c r="R18" s="31">
        <v>911.568533514372</v>
      </c>
      <c r="S18" s="38">
        <f>VLOOKUP(B18,[1]自有品牌手机收入!$F$2:$G$23,2,0)/10000</f>
        <v>106.890243</v>
      </c>
      <c r="T18" s="20">
        <f t="shared" si="6"/>
        <v>0.475553184314144</v>
      </c>
      <c r="U18" s="32">
        <f t="shared" si="7"/>
        <v>-0.129315653182814</v>
      </c>
      <c r="V18" s="39">
        <v>319.04898673003</v>
      </c>
      <c r="W18" s="33">
        <f t="shared" si="8"/>
        <v>106.890243</v>
      </c>
      <c r="X18" s="33">
        <f t="shared" si="9"/>
        <v>0</v>
      </c>
      <c r="Y18" s="31">
        <v>3570.55193650046</v>
      </c>
      <c r="Z18" s="38">
        <f>VLOOKUP(B18,'[1]自有品牌智能硬件收入（已加配额制摊分）'!$H$2:$I$23,2,0)/10000</f>
        <v>1869.83689458621</v>
      </c>
      <c r="AA18" s="20">
        <f t="shared" si="10"/>
        <v>2.12382498299528</v>
      </c>
      <c r="AB18" s="32">
        <f t="shared" si="11"/>
        <v>0.27710753005363</v>
      </c>
      <c r="AC18" s="31">
        <v>1249.69317777516</v>
      </c>
      <c r="AD18" s="33">
        <f t="shared" si="12"/>
        <v>1869.83689458621</v>
      </c>
      <c r="AE18" s="38">
        <f t="shared" si="13"/>
        <v>10</v>
      </c>
      <c r="AF18" s="31">
        <v>625.745053767938</v>
      </c>
      <c r="AG18" s="38">
        <f>VLOOKUP(B18,[1]非配额自有品牌智能硬件收入!$G$2:$H$23,2,0)/10000</f>
        <v>43.067067</v>
      </c>
      <c r="AH18" s="38">
        <f t="shared" si="14"/>
        <v>0.279124671911682</v>
      </c>
      <c r="AI18" s="32">
        <f t="shared" si="15"/>
        <v>-0.177750080898489</v>
      </c>
      <c r="AJ18" s="50">
        <v>219.010768818778</v>
      </c>
      <c r="AK18" s="38">
        <f t="shared" si="16"/>
        <v>43.067067</v>
      </c>
      <c r="AL18" s="38">
        <f t="shared" si="17"/>
        <v>0</v>
      </c>
      <c r="AM18" s="48" t="s">
        <v>84</v>
      </c>
      <c r="AN18" s="49">
        <v>3.48365754197722</v>
      </c>
      <c r="AO18" s="61">
        <v>57</v>
      </c>
      <c r="AP18" s="61">
        <v>57</v>
      </c>
      <c r="AQ18" s="62">
        <f>VLOOKUP(B18,[1]渠道类指标!$B$2:$F$22,5,0)</f>
        <v>113</v>
      </c>
      <c r="AR18" s="63">
        <f t="shared" si="18"/>
        <v>1.98245614035088</v>
      </c>
      <c r="AS18" s="20">
        <f t="shared" si="19"/>
        <v>8</v>
      </c>
      <c r="AT18" s="64">
        <v>19186.2</v>
      </c>
      <c r="AU18" s="64">
        <v>6715</v>
      </c>
      <c r="AV18" s="65">
        <f>VLOOKUP(B18,[1]渠道类指标!$B$2:$F$22,4,0)</f>
        <v>7441</v>
      </c>
      <c r="AW18" s="63">
        <f t="shared" si="20"/>
        <v>1.10811615785555</v>
      </c>
      <c r="AX18" s="20">
        <f t="shared" si="21"/>
        <v>8</v>
      </c>
      <c r="AY18" s="70">
        <v>0.52</v>
      </c>
      <c r="AZ18" s="70">
        <v>0.156</v>
      </c>
      <c r="BA18" s="70"/>
      <c r="BB18" s="33">
        <f t="shared" si="22"/>
        <v>0</v>
      </c>
      <c r="BC18" s="71"/>
      <c r="BD18" s="33">
        <f t="shared" si="23"/>
        <v>0</v>
      </c>
      <c r="BE18" s="19">
        <v>0.025</v>
      </c>
      <c r="BF18" s="19">
        <v>0.025</v>
      </c>
      <c r="BG18" s="78"/>
      <c r="BH18" s="33">
        <f t="shared" si="24"/>
        <v>0</v>
      </c>
      <c r="BI18" s="79">
        <f t="shared" si="25"/>
        <v>0</v>
      </c>
      <c r="BJ18" s="80"/>
      <c r="BK18" s="81"/>
      <c r="BL18" s="82"/>
      <c r="BM18" s="88"/>
      <c r="BN18" s="92"/>
      <c r="BO18" s="93">
        <v>319.04898673003</v>
      </c>
      <c r="BP18" s="2"/>
      <c r="BQ18" s="93">
        <v>1.59</v>
      </c>
      <c r="BR18" s="2"/>
      <c r="BS18" s="2"/>
      <c r="BT18" s="2"/>
    </row>
    <row r="19" spans="1:72">
      <c r="A19" s="17" t="s">
        <v>98</v>
      </c>
      <c r="B19" s="18" t="s">
        <v>102</v>
      </c>
      <c r="C19" s="19">
        <v>0.048</v>
      </c>
      <c r="D19" s="18"/>
      <c r="E19" s="18">
        <f t="shared" si="0"/>
        <v>0</v>
      </c>
      <c r="F19" s="20">
        <f t="shared" si="1"/>
        <v>0</v>
      </c>
      <c r="G19" s="19">
        <v>0.02</v>
      </c>
      <c r="H19" s="18"/>
      <c r="I19" s="18">
        <f t="shared" si="2"/>
        <v>0</v>
      </c>
      <c r="J19" s="20">
        <f t="shared" si="3"/>
        <v>0</v>
      </c>
      <c r="K19" s="31">
        <v>9094.77405773878</v>
      </c>
      <c r="L19" s="32"/>
      <c r="M19" s="20">
        <f t="shared" si="4"/>
        <v>0</v>
      </c>
      <c r="N19" s="32">
        <f t="shared" si="5"/>
        <v>-0.246575342465753</v>
      </c>
      <c r="O19" s="31">
        <v>3183.17092020857</v>
      </c>
      <c r="P19" s="33"/>
      <c r="Q19" s="33">
        <f>MIN(15,IF(P19/O19&lt;0.6,0,P19/O19*15))</f>
        <v>0</v>
      </c>
      <c r="R19" s="31">
        <v>391.499870645405</v>
      </c>
      <c r="S19" s="38">
        <f>VLOOKUP(B19,[1]自有品牌手机收入!$F$2:$G$23,2,0)/10000</f>
        <v>3.937701</v>
      </c>
      <c r="T19" s="20">
        <f t="shared" si="6"/>
        <v>0.0407907291012386</v>
      </c>
      <c r="U19" s="32">
        <f t="shared" si="7"/>
        <v>-0.236517354468188</v>
      </c>
      <c r="V19" s="39">
        <v>137.024954725892</v>
      </c>
      <c r="W19" s="33">
        <f t="shared" si="8"/>
        <v>3.937701</v>
      </c>
      <c r="X19" s="33">
        <f t="shared" si="9"/>
        <v>0</v>
      </c>
      <c r="Y19" s="31">
        <v>1974.68234583664</v>
      </c>
      <c r="Z19" s="38">
        <f>VLOOKUP(B19,'[1]自有品牌智能硬件收入（已加配额制摊分）'!$H$2:$I$23,2,0)/10000</f>
        <v>807.917327965517</v>
      </c>
      <c r="AA19" s="20">
        <f t="shared" si="10"/>
        <v>1.65928135974292</v>
      </c>
      <c r="AB19" s="32">
        <f t="shared" si="11"/>
        <v>0.162562527059897</v>
      </c>
      <c r="AC19" s="31">
        <v>691.138821042825</v>
      </c>
      <c r="AD19" s="33">
        <f t="shared" si="12"/>
        <v>807.917327965517</v>
      </c>
      <c r="AE19" s="38">
        <f t="shared" si="13"/>
        <v>10</v>
      </c>
      <c r="AF19" s="31">
        <v>332.897589494732</v>
      </c>
      <c r="AG19" s="38">
        <f>VLOOKUP(B19,[1]非配额自有品牌智能硬件收入!$G$2:$H$23,2,0)/10000</f>
        <v>22.305259</v>
      </c>
      <c r="AH19" s="38">
        <f t="shared" si="14"/>
        <v>0.271735872863649</v>
      </c>
      <c r="AI19" s="32">
        <f t="shared" si="15"/>
        <v>-0.179571976554169</v>
      </c>
      <c r="AJ19" s="50">
        <v>116.514156323156</v>
      </c>
      <c r="AK19" s="38">
        <f t="shared" si="16"/>
        <v>22.305259</v>
      </c>
      <c r="AL19" s="38">
        <f t="shared" si="17"/>
        <v>0</v>
      </c>
      <c r="AM19" s="48" t="s">
        <v>84</v>
      </c>
      <c r="AN19" s="49">
        <v>4.25643921756431</v>
      </c>
      <c r="AO19" s="61">
        <v>24</v>
      </c>
      <c r="AP19" s="61">
        <v>24</v>
      </c>
      <c r="AQ19" s="62">
        <f>VLOOKUP(B19,[1]渠道类指标!$B$2:$F$22,5,0)</f>
        <v>28</v>
      </c>
      <c r="AR19" s="63">
        <f t="shared" si="18"/>
        <v>1.16666666666667</v>
      </c>
      <c r="AS19" s="20">
        <f t="shared" si="19"/>
        <v>8</v>
      </c>
      <c r="AT19" s="64">
        <v>22816.8</v>
      </c>
      <c r="AU19" s="64">
        <v>7986</v>
      </c>
      <c r="AV19" s="65">
        <f>VLOOKUP(B19,[1]渠道类指标!$B$2:$F$22,4,0)</f>
        <v>8383</v>
      </c>
      <c r="AW19" s="63">
        <f t="shared" si="20"/>
        <v>1.04971199599299</v>
      </c>
      <c r="AX19" s="20">
        <f t="shared" si="21"/>
        <v>8</v>
      </c>
      <c r="AY19" s="70">
        <v>0.3</v>
      </c>
      <c r="AZ19" s="70">
        <v>0.09</v>
      </c>
      <c r="BA19" s="70"/>
      <c r="BB19" s="33">
        <f t="shared" si="22"/>
        <v>0</v>
      </c>
      <c r="BC19" s="71"/>
      <c r="BD19" s="33">
        <f t="shared" si="23"/>
        <v>0</v>
      </c>
      <c r="BE19" s="19">
        <v>0.025</v>
      </c>
      <c r="BF19" s="19">
        <v>0.025</v>
      </c>
      <c r="BG19" s="78"/>
      <c r="BH19" s="33">
        <f t="shared" si="24"/>
        <v>0</v>
      </c>
      <c r="BI19" s="79">
        <f t="shared" si="25"/>
        <v>0</v>
      </c>
      <c r="BJ19" s="80"/>
      <c r="BK19" s="81"/>
      <c r="BL19" s="82"/>
      <c r="BM19" s="88"/>
      <c r="BN19" s="92"/>
      <c r="BO19" s="93">
        <v>137.024954725892</v>
      </c>
      <c r="BP19" s="2"/>
      <c r="BQ19" s="93">
        <v>0.84</v>
      </c>
      <c r="BR19" s="2"/>
      <c r="BS19" s="2"/>
      <c r="BT19" s="2"/>
    </row>
    <row r="20" spans="1:72">
      <c r="A20" s="17" t="s">
        <v>98</v>
      </c>
      <c r="B20" s="18" t="s">
        <v>103</v>
      </c>
      <c r="C20" s="19">
        <v>0.048</v>
      </c>
      <c r="D20" s="18"/>
      <c r="E20" s="18">
        <f t="shared" si="0"/>
        <v>0</v>
      </c>
      <c r="F20" s="20">
        <f t="shared" si="1"/>
        <v>0</v>
      </c>
      <c r="G20" s="19">
        <v>0.02</v>
      </c>
      <c r="H20" s="18"/>
      <c r="I20" s="18">
        <f t="shared" si="2"/>
        <v>0</v>
      </c>
      <c r="J20" s="20">
        <f t="shared" si="3"/>
        <v>0</v>
      </c>
      <c r="K20" s="31">
        <v>5694.55990868401</v>
      </c>
      <c r="L20" s="32"/>
      <c r="M20" s="20">
        <f t="shared" si="4"/>
        <v>0</v>
      </c>
      <c r="N20" s="32">
        <f t="shared" si="5"/>
        <v>-0.246575342465753</v>
      </c>
      <c r="O20" s="31">
        <v>1993.0959680394</v>
      </c>
      <c r="P20" s="33"/>
      <c r="Q20" s="33">
        <f>MIN(15,IF(P20/O20&lt;0.6,0,P20/O20*15))</f>
        <v>0</v>
      </c>
      <c r="R20" s="31">
        <v>375.473773361213</v>
      </c>
      <c r="S20" s="38">
        <f>VLOOKUP(B20,[1]自有品牌手机收入!$F$2:$G$23,2,0)/10000</f>
        <v>9.006724</v>
      </c>
      <c r="T20" s="20">
        <f t="shared" si="6"/>
        <v>0.0972831450478318</v>
      </c>
      <c r="U20" s="32">
        <f t="shared" si="7"/>
        <v>-0.222587717659439</v>
      </c>
      <c r="V20" s="39">
        <v>131.415820676424</v>
      </c>
      <c r="W20" s="33">
        <f t="shared" si="8"/>
        <v>9.006724</v>
      </c>
      <c r="X20" s="33">
        <f t="shared" si="9"/>
        <v>0</v>
      </c>
      <c r="Y20" s="31">
        <v>1451.7612451253</v>
      </c>
      <c r="Z20" s="38">
        <f>VLOOKUP(B20,'[1]自有品牌智能硬件收入（已加配额制摊分）'!$H$2:$I$23,2,0)/10000</f>
        <v>197.646219172414</v>
      </c>
      <c r="AA20" s="20">
        <f t="shared" si="10"/>
        <v>0.552132952226627</v>
      </c>
      <c r="AB20" s="32">
        <f t="shared" si="11"/>
        <v>-0.110432970683845</v>
      </c>
      <c r="AC20" s="31">
        <v>508.116435793854</v>
      </c>
      <c r="AD20" s="33">
        <f t="shared" si="12"/>
        <v>197.646219172414</v>
      </c>
      <c r="AE20" s="38">
        <f t="shared" si="13"/>
        <v>0</v>
      </c>
      <c r="AF20" s="31">
        <v>230.904876603734</v>
      </c>
      <c r="AG20" s="38">
        <f>VLOOKUP(B20,[1]非配额自有品牌智能硬件收入!$G$2:$H$23,2,0)/10000</f>
        <v>35.831564</v>
      </c>
      <c r="AH20" s="38">
        <f t="shared" si="14"/>
        <v>0.629336636721751</v>
      </c>
      <c r="AI20" s="32">
        <f t="shared" si="15"/>
        <v>-0.0913964457398424</v>
      </c>
      <c r="AJ20" s="50">
        <v>80.8167068113068</v>
      </c>
      <c r="AK20" s="38">
        <f t="shared" si="16"/>
        <v>35.831564</v>
      </c>
      <c r="AL20" s="38">
        <f t="shared" si="17"/>
        <v>0</v>
      </c>
      <c r="AM20" s="48" t="s">
        <v>84</v>
      </c>
      <c r="AN20" s="49">
        <v>2.77421680233082</v>
      </c>
      <c r="AO20" s="61">
        <v>20</v>
      </c>
      <c r="AP20" s="61">
        <v>20</v>
      </c>
      <c r="AQ20" s="62">
        <f>VLOOKUP(B20,[1]渠道类指标!$B$2:$F$22,5,0)</f>
        <v>46</v>
      </c>
      <c r="AR20" s="63">
        <f t="shared" si="18"/>
        <v>2.3</v>
      </c>
      <c r="AS20" s="20">
        <f t="shared" si="19"/>
        <v>8</v>
      </c>
      <c r="AT20" s="64">
        <v>12481.6504</v>
      </c>
      <c r="AU20" s="64">
        <v>4369</v>
      </c>
      <c r="AV20" s="65">
        <f>VLOOKUP(B20,[1]渠道类指标!$B$2:$F$22,4,0)</f>
        <v>1779</v>
      </c>
      <c r="AW20" s="63">
        <f t="shared" si="20"/>
        <v>0.407186999313344</v>
      </c>
      <c r="AX20" s="20">
        <f t="shared" si="21"/>
        <v>0</v>
      </c>
      <c r="AY20" s="70">
        <v>0.2</v>
      </c>
      <c r="AZ20" s="70">
        <v>0.06</v>
      </c>
      <c r="BA20" s="70"/>
      <c r="BB20" s="33">
        <f t="shared" si="22"/>
        <v>0</v>
      </c>
      <c r="BC20" s="71"/>
      <c r="BD20" s="33">
        <f t="shared" si="23"/>
        <v>0</v>
      </c>
      <c r="BE20" s="19">
        <v>0.025</v>
      </c>
      <c r="BF20" s="19">
        <v>0.025</v>
      </c>
      <c r="BG20" s="78"/>
      <c r="BH20" s="33">
        <f t="shared" si="24"/>
        <v>0</v>
      </c>
      <c r="BI20" s="79">
        <f t="shared" si="25"/>
        <v>0</v>
      </c>
      <c r="BJ20" s="80"/>
      <c r="BK20" s="81"/>
      <c r="BL20" s="82"/>
      <c r="BM20" s="88"/>
      <c r="BN20" s="92"/>
      <c r="BO20" s="93">
        <v>131.415820676424</v>
      </c>
      <c r="BP20" s="2"/>
      <c r="BQ20" s="93">
        <v>0.55</v>
      </c>
      <c r="BR20" s="2"/>
      <c r="BS20" s="2"/>
      <c r="BT20" s="2"/>
    </row>
    <row r="21" spans="1:72">
      <c r="A21" s="17" t="s">
        <v>98</v>
      </c>
      <c r="B21" s="18" t="s">
        <v>104</v>
      </c>
      <c r="C21" s="21">
        <v>0.048</v>
      </c>
      <c r="D21" s="18"/>
      <c r="E21" s="18">
        <f t="shared" si="0"/>
        <v>0</v>
      </c>
      <c r="F21" s="20">
        <f t="shared" si="1"/>
        <v>0</v>
      </c>
      <c r="G21" s="21">
        <v>0.02</v>
      </c>
      <c r="H21" s="18"/>
      <c r="I21" s="18">
        <f t="shared" si="2"/>
        <v>0</v>
      </c>
      <c r="J21" s="20">
        <f t="shared" si="3"/>
        <v>0</v>
      </c>
      <c r="K21" s="31">
        <f>SUM(K16:K20)</f>
        <v>117342.675035506</v>
      </c>
      <c r="L21" s="32"/>
      <c r="M21" s="20">
        <f t="shared" si="4"/>
        <v>0</v>
      </c>
      <c r="N21" s="32">
        <f t="shared" si="5"/>
        <v>-0.246575342465753</v>
      </c>
      <c r="O21" s="31">
        <f>SUM(O16:O20)</f>
        <v>41069.9362624271</v>
      </c>
      <c r="P21" s="33"/>
      <c r="Q21" s="31">
        <f>SUM(Q16:Q20)</f>
        <v>0</v>
      </c>
      <c r="R21" s="31">
        <v>3737.26297137544</v>
      </c>
      <c r="S21" s="38">
        <f>SUM(S16:S20)</f>
        <v>168.951936</v>
      </c>
      <c r="T21" s="20">
        <f t="shared" si="6"/>
        <v>0.183341115654618</v>
      </c>
      <c r="U21" s="32">
        <f t="shared" si="7"/>
        <v>-0.201367944085163</v>
      </c>
      <c r="V21" s="39">
        <v>1308.0420399814</v>
      </c>
      <c r="W21" s="33">
        <f t="shared" si="8"/>
        <v>168.951936</v>
      </c>
      <c r="X21" s="33">
        <f t="shared" si="9"/>
        <v>0</v>
      </c>
      <c r="Y21" s="31">
        <f>SUM(Y16:Y20)</f>
        <v>16253.6281535921</v>
      </c>
      <c r="Z21" s="38">
        <f>SUM(Z16:Z20)</f>
        <v>5919.85761948276</v>
      </c>
      <c r="AA21" s="20">
        <f t="shared" si="10"/>
        <v>1.47710475654541</v>
      </c>
      <c r="AB21" s="32">
        <f t="shared" si="11"/>
        <v>0.117642268737223</v>
      </c>
      <c r="AC21" s="31">
        <f>SUM(AC16:AC20)</f>
        <v>5688.76985375723</v>
      </c>
      <c r="AD21" s="33">
        <f t="shared" si="12"/>
        <v>5919.85761948276</v>
      </c>
      <c r="AE21" s="38">
        <f t="shared" si="13"/>
        <v>10</v>
      </c>
      <c r="AF21" s="31">
        <f>SUM(AF16:AF20)</f>
        <v>2907.40039564126</v>
      </c>
      <c r="AG21" s="50">
        <f>SUM(AG16:AG20)</f>
        <v>117.709085</v>
      </c>
      <c r="AH21" s="38">
        <f t="shared" si="14"/>
        <v>0.164193323467516</v>
      </c>
      <c r="AI21" s="32">
        <f t="shared" si="15"/>
        <v>-0.20608931750116</v>
      </c>
      <c r="AJ21" s="50">
        <f>SUM(AJ16:AJ20)</f>
        <v>1017.59013847444</v>
      </c>
      <c r="AK21" s="38">
        <f t="shared" si="16"/>
        <v>117.709085</v>
      </c>
      <c r="AL21" s="38">
        <f t="shared" si="17"/>
        <v>0</v>
      </c>
      <c r="AM21" s="48" t="s">
        <v>84</v>
      </c>
      <c r="AN21" s="51">
        <f>SUM(AN16:AN20)</f>
        <v>15.0875263698077</v>
      </c>
      <c r="AO21" s="61">
        <f>SUM(AO16:AO20)</f>
        <v>173</v>
      </c>
      <c r="AP21" s="61">
        <f>SUM(AP16:AP20)</f>
        <v>173</v>
      </c>
      <c r="AQ21" s="61">
        <f>SUM(AQ16:AQ20)</f>
        <v>357</v>
      </c>
      <c r="AR21" s="63">
        <f t="shared" si="18"/>
        <v>2.0635838150289</v>
      </c>
      <c r="AS21" s="20">
        <f t="shared" si="19"/>
        <v>8</v>
      </c>
      <c r="AT21" s="64">
        <f>SUM(AT16:AT20)</f>
        <v>254955.3679</v>
      </c>
      <c r="AU21" s="64">
        <f>SUM(AU16:AU20)</f>
        <v>89235</v>
      </c>
      <c r="AV21" s="64">
        <f>SUM(AV16:AV20)</f>
        <v>35029</v>
      </c>
      <c r="AW21" s="63">
        <f t="shared" si="20"/>
        <v>0.392547767131731</v>
      </c>
      <c r="AX21" s="20">
        <f t="shared" si="21"/>
        <v>0</v>
      </c>
      <c r="AY21" s="70">
        <f>SUM(AY16:AY20)</f>
        <v>2.42</v>
      </c>
      <c r="AZ21" s="70">
        <f>SUM(AZ16:AZ20)</f>
        <v>0.726</v>
      </c>
      <c r="BA21" s="70"/>
      <c r="BB21" s="33">
        <f t="shared" si="22"/>
        <v>0</v>
      </c>
      <c r="BC21" s="71"/>
      <c r="BD21" s="33">
        <f t="shared" si="23"/>
        <v>0</v>
      </c>
      <c r="BE21" s="21">
        <v>0.025</v>
      </c>
      <c r="BF21" s="21">
        <v>0.025</v>
      </c>
      <c r="BG21" s="78"/>
      <c r="BH21" s="33">
        <f t="shared" si="24"/>
        <v>0</v>
      </c>
      <c r="BI21" s="79">
        <f t="shared" si="25"/>
        <v>0</v>
      </c>
      <c r="BJ21" s="80"/>
      <c r="BK21" s="81"/>
      <c r="BL21" s="82"/>
      <c r="BM21" s="88"/>
      <c r="BN21" s="92"/>
      <c r="BO21" s="93">
        <v>1308.0420399814</v>
      </c>
      <c r="BP21" s="2"/>
      <c r="BQ21" s="93">
        <f>SUM(BQ16:BQ20)</f>
        <v>7.56</v>
      </c>
      <c r="BR21" s="2"/>
      <c r="BS21" s="2"/>
      <c r="BT21" s="2"/>
    </row>
    <row r="22" spans="1:72">
      <c r="A22" s="17" t="s">
        <v>105</v>
      </c>
      <c r="B22" s="18" t="s">
        <v>106</v>
      </c>
      <c r="C22" s="19">
        <v>0.048</v>
      </c>
      <c r="D22" s="18"/>
      <c r="E22" s="18">
        <f t="shared" si="0"/>
        <v>0</v>
      </c>
      <c r="F22" s="20">
        <f t="shared" si="1"/>
        <v>0</v>
      </c>
      <c r="G22" s="19">
        <v>0.02</v>
      </c>
      <c r="H22" s="18"/>
      <c r="I22" s="18">
        <f t="shared" si="2"/>
        <v>0</v>
      </c>
      <c r="J22" s="20">
        <f t="shared" si="3"/>
        <v>0</v>
      </c>
      <c r="K22" s="31">
        <v>33618.3859191099</v>
      </c>
      <c r="L22" s="32"/>
      <c r="M22" s="20">
        <f t="shared" si="4"/>
        <v>0</v>
      </c>
      <c r="N22" s="32">
        <f t="shared" si="5"/>
        <v>-0.246575342465753</v>
      </c>
      <c r="O22" s="31">
        <v>11766.4350716885</v>
      </c>
      <c r="P22" s="33"/>
      <c r="Q22" s="33">
        <f>MIN(15,IF(P22/O22&lt;0.6,0,P22/O22*15))</f>
        <v>0</v>
      </c>
      <c r="R22" s="31">
        <v>902.06423252387</v>
      </c>
      <c r="S22" s="38">
        <f>VLOOKUP(B22,[1]自有品牌手机收入!$F$2:$G$23,2,0)/10000</f>
        <v>35.694675</v>
      </c>
      <c r="T22" s="20">
        <f t="shared" si="6"/>
        <v>0.160478303296622</v>
      </c>
      <c r="U22" s="32">
        <f t="shared" si="7"/>
        <v>-0.207005349872066</v>
      </c>
      <c r="V22" s="39">
        <v>315.722481383354</v>
      </c>
      <c r="W22" s="33">
        <f t="shared" si="8"/>
        <v>35.694675</v>
      </c>
      <c r="X22" s="33">
        <f t="shared" si="9"/>
        <v>0</v>
      </c>
      <c r="Y22" s="31">
        <v>5228.89376985685</v>
      </c>
      <c r="Z22" s="38">
        <f>VLOOKUP(B22,'[1]自有品牌智能硬件收入（已加配额制摊分）'!$H$2:$I$23,2,0)/10000</f>
        <v>1845.19530262069</v>
      </c>
      <c r="AA22" s="20">
        <f t="shared" si="10"/>
        <v>1.43114249208265</v>
      </c>
      <c r="AB22" s="32">
        <f t="shared" si="11"/>
        <v>0.106309107636817</v>
      </c>
      <c r="AC22" s="31">
        <v>1830.1128194499</v>
      </c>
      <c r="AD22" s="33">
        <f t="shared" si="12"/>
        <v>1845.19530262069</v>
      </c>
      <c r="AE22" s="38">
        <f t="shared" si="13"/>
        <v>10</v>
      </c>
      <c r="AF22" s="31">
        <v>914.589915409831</v>
      </c>
      <c r="AG22" s="38">
        <f>VLOOKUP(B22,[1]非配额自有品牌智能硬件收入!$G$2:$H$23,2,0)/10000</f>
        <v>2.78754400000001</v>
      </c>
      <c r="AH22" s="38">
        <f t="shared" si="14"/>
        <v>0.0123607743373048</v>
      </c>
      <c r="AI22" s="32">
        <f t="shared" si="15"/>
        <v>-0.243527480300391</v>
      </c>
      <c r="AJ22" s="50">
        <v>320.106470393441</v>
      </c>
      <c r="AK22" s="38">
        <f t="shared" si="16"/>
        <v>2.78754400000001</v>
      </c>
      <c r="AL22" s="38">
        <f t="shared" si="17"/>
        <v>0</v>
      </c>
      <c r="AM22" s="48" t="s">
        <v>84</v>
      </c>
      <c r="AN22" s="49">
        <v>3.35714285714286</v>
      </c>
      <c r="AO22" s="61">
        <v>23</v>
      </c>
      <c r="AP22" s="61">
        <v>23</v>
      </c>
      <c r="AQ22" s="62">
        <f>VLOOKUP(B22,[1]渠道类指标!$B$2:$F$22,5,0)</f>
        <v>38</v>
      </c>
      <c r="AR22" s="63">
        <f t="shared" si="18"/>
        <v>1.65217391304348</v>
      </c>
      <c r="AS22" s="20">
        <f t="shared" si="19"/>
        <v>8</v>
      </c>
      <c r="AT22" s="64">
        <v>40333.7</v>
      </c>
      <c r="AU22" s="64">
        <v>14117</v>
      </c>
      <c r="AV22" s="65">
        <f>VLOOKUP(B22,[1]渠道类指标!$B$2:$F$22,4,0)</f>
        <v>24049</v>
      </c>
      <c r="AW22" s="63">
        <f t="shared" si="20"/>
        <v>1.7035489126585</v>
      </c>
      <c r="AX22" s="20">
        <f t="shared" si="21"/>
        <v>8</v>
      </c>
      <c r="AY22" s="70">
        <v>0.76</v>
      </c>
      <c r="AZ22" s="70">
        <v>0.228</v>
      </c>
      <c r="BA22" s="70"/>
      <c r="BB22" s="33">
        <f t="shared" si="22"/>
        <v>0</v>
      </c>
      <c r="BC22" s="71"/>
      <c r="BD22" s="33">
        <f t="shared" si="23"/>
        <v>0</v>
      </c>
      <c r="BE22" s="19">
        <v>0.025</v>
      </c>
      <c r="BF22" s="19">
        <v>0.025</v>
      </c>
      <c r="BG22" s="78"/>
      <c r="BH22" s="33">
        <f t="shared" si="24"/>
        <v>0</v>
      </c>
      <c r="BI22" s="79">
        <f t="shared" si="25"/>
        <v>0</v>
      </c>
      <c r="BJ22" s="80"/>
      <c r="BK22" s="81"/>
      <c r="BL22" s="82"/>
      <c r="BM22" s="88"/>
      <c r="BN22" s="92"/>
      <c r="BO22" s="93">
        <v>315.722481383354</v>
      </c>
      <c r="BP22" s="2"/>
      <c r="BQ22" s="93">
        <v>2.32</v>
      </c>
      <c r="BR22" s="2"/>
      <c r="BS22" s="2"/>
      <c r="BT22" s="2"/>
    </row>
    <row r="23" spans="1:72">
      <c r="A23" s="17" t="s">
        <v>105</v>
      </c>
      <c r="B23" s="18" t="s">
        <v>107</v>
      </c>
      <c r="C23" s="19">
        <v>0.048</v>
      </c>
      <c r="D23" s="18"/>
      <c r="E23" s="18">
        <f t="shared" si="0"/>
        <v>0</v>
      </c>
      <c r="F23" s="20">
        <f t="shared" si="1"/>
        <v>0</v>
      </c>
      <c r="G23" s="19">
        <v>0.02</v>
      </c>
      <c r="H23" s="18"/>
      <c r="I23" s="18">
        <f t="shared" si="2"/>
        <v>0</v>
      </c>
      <c r="J23" s="20">
        <f t="shared" si="3"/>
        <v>0</v>
      </c>
      <c r="K23" s="31">
        <v>9522.58250438746</v>
      </c>
      <c r="L23" s="32"/>
      <c r="M23" s="20">
        <f t="shared" si="4"/>
        <v>0</v>
      </c>
      <c r="N23" s="32">
        <f t="shared" si="5"/>
        <v>-0.246575342465753</v>
      </c>
      <c r="O23" s="31">
        <v>3332.90387653561</v>
      </c>
      <c r="P23" s="33"/>
      <c r="Q23" s="33">
        <f>MIN(15,IF(P23/O23&lt;0.6,0,P23/O23*15))</f>
        <v>0</v>
      </c>
      <c r="R23" s="31">
        <v>453.748657413416</v>
      </c>
      <c r="S23" s="38">
        <f>VLOOKUP(B23,[1]自有品牌手机收入!$F$2:$G$23,2,0)/10000</f>
        <v>47.9671760000001</v>
      </c>
      <c r="T23" s="20">
        <f t="shared" si="6"/>
        <v>0.428725339310193</v>
      </c>
      <c r="U23" s="32">
        <f t="shared" si="7"/>
        <v>-0.140862245101596</v>
      </c>
      <c r="V23" s="39">
        <v>158.812030094696</v>
      </c>
      <c r="W23" s="33">
        <f t="shared" si="8"/>
        <v>47.9671760000001</v>
      </c>
      <c r="X23" s="33">
        <f t="shared" si="9"/>
        <v>0</v>
      </c>
      <c r="Y23" s="31">
        <v>3540.34596094398</v>
      </c>
      <c r="Z23" s="38">
        <f>VLOOKUP(B23,'[1]自有品牌智能硬件收入（已加配额制摊分）'!$H$2:$I$23,2,0)/10000</f>
        <v>1736.56738427586</v>
      </c>
      <c r="AA23" s="20">
        <f t="shared" si="10"/>
        <v>1.98928172008893</v>
      </c>
      <c r="AB23" s="32">
        <f t="shared" si="11"/>
        <v>0.243932478926039</v>
      </c>
      <c r="AC23" s="31">
        <v>1239.12108633039</v>
      </c>
      <c r="AD23" s="33">
        <f t="shared" si="12"/>
        <v>1736.56738427586</v>
      </c>
      <c r="AE23" s="38">
        <f t="shared" si="13"/>
        <v>10</v>
      </c>
      <c r="AF23" s="31">
        <v>577.519847922499</v>
      </c>
      <c r="AG23" s="38">
        <f>VLOOKUP(B23,[1]非配额自有品牌智能硬件收入!$G$2:$H$23,2,0)/10000</f>
        <v>139.067936</v>
      </c>
      <c r="AH23" s="38">
        <f t="shared" si="14"/>
        <v>0.976585899988204</v>
      </c>
      <c r="AI23" s="32">
        <f t="shared" si="15"/>
        <v>-0.00577333972893593</v>
      </c>
      <c r="AJ23" s="50">
        <v>202.131946772875</v>
      </c>
      <c r="AK23" s="38">
        <f t="shared" si="16"/>
        <v>139.067936</v>
      </c>
      <c r="AL23" s="38">
        <f t="shared" si="17"/>
        <v>6.88005722105193</v>
      </c>
      <c r="AM23" s="48" t="s">
        <v>84</v>
      </c>
      <c r="AN23" s="49">
        <v>4.07405801435407</v>
      </c>
      <c r="AO23" s="61">
        <v>24</v>
      </c>
      <c r="AP23" s="61">
        <v>24</v>
      </c>
      <c r="AQ23" s="62">
        <f>VLOOKUP(B23,[1]渠道类指标!$B$2:$F$22,5,0)</f>
        <v>30</v>
      </c>
      <c r="AR23" s="63">
        <f t="shared" si="18"/>
        <v>1.25</v>
      </c>
      <c r="AS23" s="20">
        <f t="shared" si="19"/>
        <v>8</v>
      </c>
      <c r="AT23" s="64">
        <v>14681.457</v>
      </c>
      <c r="AU23" s="64">
        <v>5139</v>
      </c>
      <c r="AV23" s="65">
        <f>VLOOKUP(B23,[1]渠道类指标!$B$2:$F$22,4,0)</f>
        <v>5178</v>
      </c>
      <c r="AW23" s="63">
        <f t="shared" si="20"/>
        <v>1.00758902510216</v>
      </c>
      <c r="AX23" s="20">
        <f t="shared" si="21"/>
        <v>8</v>
      </c>
      <c r="AY23" s="70">
        <v>1.6</v>
      </c>
      <c r="AZ23" s="70">
        <v>0.48</v>
      </c>
      <c r="BA23" s="70"/>
      <c r="BB23" s="33">
        <f t="shared" si="22"/>
        <v>0</v>
      </c>
      <c r="BC23" s="71"/>
      <c r="BD23" s="33">
        <f t="shared" si="23"/>
        <v>0</v>
      </c>
      <c r="BE23" s="19">
        <v>0.025</v>
      </c>
      <c r="BF23" s="19">
        <v>0.025</v>
      </c>
      <c r="BG23" s="78"/>
      <c r="BH23" s="33">
        <f t="shared" si="24"/>
        <v>0</v>
      </c>
      <c r="BI23" s="79">
        <f t="shared" si="25"/>
        <v>0</v>
      </c>
      <c r="BJ23" s="80"/>
      <c r="BK23" s="81"/>
      <c r="BL23" s="82"/>
      <c r="BM23" s="88"/>
      <c r="BN23" s="92"/>
      <c r="BO23" s="93">
        <v>158.812030094696</v>
      </c>
      <c r="BP23" s="2"/>
      <c r="BQ23" s="93">
        <v>1.35</v>
      </c>
      <c r="BR23" s="2"/>
      <c r="BS23" s="2"/>
      <c r="BT23" s="2"/>
    </row>
    <row r="24" spans="1:72">
      <c r="A24" s="17" t="s">
        <v>105</v>
      </c>
      <c r="B24" s="18" t="s">
        <v>108</v>
      </c>
      <c r="C24" s="19">
        <v>0.048</v>
      </c>
      <c r="D24" s="18"/>
      <c r="E24" s="18">
        <f t="shared" si="0"/>
        <v>0</v>
      </c>
      <c r="F24" s="20">
        <f t="shared" si="1"/>
        <v>0</v>
      </c>
      <c r="G24" s="19">
        <v>0.02</v>
      </c>
      <c r="H24" s="18"/>
      <c r="I24" s="18">
        <f t="shared" si="2"/>
        <v>0</v>
      </c>
      <c r="J24" s="20">
        <f t="shared" si="3"/>
        <v>0</v>
      </c>
      <c r="K24" s="31">
        <v>11793.2040042876</v>
      </c>
      <c r="L24" s="32"/>
      <c r="M24" s="20">
        <f t="shared" si="4"/>
        <v>0</v>
      </c>
      <c r="N24" s="32">
        <f t="shared" si="5"/>
        <v>-0.246575342465753</v>
      </c>
      <c r="O24" s="31">
        <v>4127.62140150067</v>
      </c>
      <c r="P24" s="33"/>
      <c r="Q24" s="33">
        <f>MIN(15,IF(P24/O24&lt;0.6,0,P24/O24*15))</f>
        <v>0</v>
      </c>
      <c r="R24" s="31">
        <v>1184.40223534046</v>
      </c>
      <c r="S24" s="38">
        <f>VLOOKUP(B24,[1]自有品牌手机收入!$F$2:$G$23,2,0)/10000</f>
        <v>10.582606</v>
      </c>
      <c r="T24" s="20">
        <f t="shared" si="6"/>
        <v>0.0362362931063016</v>
      </c>
      <c r="U24" s="32">
        <f t="shared" si="7"/>
        <v>-0.237640366083378</v>
      </c>
      <c r="V24" s="39">
        <v>414.540782369159</v>
      </c>
      <c r="W24" s="33">
        <f t="shared" si="8"/>
        <v>10.582606</v>
      </c>
      <c r="X24" s="33">
        <f t="shared" si="9"/>
        <v>0</v>
      </c>
      <c r="Y24" s="31">
        <v>3604.77263485284</v>
      </c>
      <c r="Z24" s="38">
        <f>VLOOKUP(B24,'[1]自有品牌智能硬件收入（已加配额制摊分）'!$H$2:$I$23,2,0)/10000</f>
        <v>2323.14778841379</v>
      </c>
      <c r="AA24" s="20">
        <f t="shared" si="10"/>
        <v>2.61366135233735</v>
      </c>
      <c r="AB24" s="32">
        <f t="shared" si="11"/>
        <v>0.397889100576334</v>
      </c>
      <c r="AC24" s="31">
        <v>1261.6704221985</v>
      </c>
      <c r="AD24" s="33">
        <f t="shared" si="12"/>
        <v>2323.14778841379</v>
      </c>
      <c r="AE24" s="38">
        <f t="shared" si="13"/>
        <v>10</v>
      </c>
      <c r="AF24" s="31">
        <v>593.222306137592</v>
      </c>
      <c r="AG24" s="38">
        <f>VLOOKUP(B24,[1]非配额自有品牌智能硬件收入!$G$2:$H$23,2,0)/10000</f>
        <v>100.867616000001</v>
      </c>
      <c r="AH24" s="38">
        <f t="shared" si="14"/>
        <v>0.689579970631732</v>
      </c>
      <c r="AI24" s="32">
        <f t="shared" si="15"/>
        <v>-0.0765419250497098</v>
      </c>
      <c r="AJ24" s="50">
        <v>207.627807148157</v>
      </c>
      <c r="AK24" s="38">
        <f t="shared" si="16"/>
        <v>100.867616000001</v>
      </c>
      <c r="AL24" s="38">
        <f t="shared" si="17"/>
        <v>0</v>
      </c>
      <c r="AM24" s="48" t="s">
        <v>84</v>
      </c>
      <c r="AN24" s="49">
        <v>2.1455223880597</v>
      </c>
      <c r="AO24" s="61">
        <v>20</v>
      </c>
      <c r="AP24" s="61">
        <v>20</v>
      </c>
      <c r="AQ24" s="62">
        <f>VLOOKUP(B24,[1]渠道类指标!$B$2:$F$22,5,0)</f>
        <v>33</v>
      </c>
      <c r="AR24" s="63">
        <f t="shared" si="18"/>
        <v>1.65</v>
      </c>
      <c r="AS24" s="20">
        <f t="shared" si="19"/>
        <v>8</v>
      </c>
      <c r="AT24" s="64">
        <v>22812.6788</v>
      </c>
      <c r="AU24" s="64">
        <v>7984</v>
      </c>
      <c r="AV24" s="65">
        <f>VLOOKUP(B24,[1]渠道类指标!$B$2:$F$22,4,0)</f>
        <v>3066</v>
      </c>
      <c r="AW24" s="63">
        <f t="shared" si="20"/>
        <v>0.384018036072144</v>
      </c>
      <c r="AX24" s="20">
        <f t="shared" si="21"/>
        <v>0</v>
      </c>
      <c r="AY24" s="70">
        <v>0.26</v>
      </c>
      <c r="AZ24" s="70">
        <v>0.078</v>
      </c>
      <c r="BA24" s="70"/>
      <c r="BB24" s="33">
        <f t="shared" si="22"/>
        <v>0</v>
      </c>
      <c r="BC24" s="71"/>
      <c r="BD24" s="33">
        <f t="shared" si="23"/>
        <v>0</v>
      </c>
      <c r="BE24" s="19">
        <v>0.025</v>
      </c>
      <c r="BF24" s="19">
        <v>0.025</v>
      </c>
      <c r="BG24" s="78"/>
      <c r="BH24" s="33">
        <f t="shared" si="24"/>
        <v>0</v>
      </c>
      <c r="BI24" s="79">
        <f t="shared" si="25"/>
        <v>0</v>
      </c>
      <c r="BJ24" s="80"/>
      <c r="BK24" s="81"/>
      <c r="BL24" s="82"/>
      <c r="BM24" s="88"/>
      <c r="BN24" s="92"/>
      <c r="BO24" s="93">
        <v>414.540782369159</v>
      </c>
      <c r="BP24" s="2"/>
      <c r="BQ24" s="93">
        <v>1.43</v>
      </c>
      <c r="BR24" s="2"/>
      <c r="BS24" s="2"/>
      <c r="BT24" s="2"/>
    </row>
    <row r="25" spans="1:72">
      <c r="A25" s="17" t="s">
        <v>105</v>
      </c>
      <c r="B25" s="18" t="s">
        <v>109</v>
      </c>
      <c r="C25" s="19">
        <v>0.048</v>
      </c>
      <c r="D25" s="18"/>
      <c r="E25" s="18">
        <f t="shared" si="0"/>
        <v>0</v>
      </c>
      <c r="F25" s="20">
        <f t="shared" si="1"/>
        <v>0</v>
      </c>
      <c r="G25" s="19">
        <v>0.02</v>
      </c>
      <c r="H25" s="18"/>
      <c r="I25" s="18">
        <f t="shared" si="2"/>
        <v>0</v>
      </c>
      <c r="J25" s="20">
        <f t="shared" si="3"/>
        <v>0</v>
      </c>
      <c r="K25" s="31">
        <v>8814.22584384683</v>
      </c>
      <c r="L25" s="32"/>
      <c r="M25" s="20">
        <f t="shared" si="4"/>
        <v>0</v>
      </c>
      <c r="N25" s="32">
        <f t="shared" si="5"/>
        <v>-0.246575342465753</v>
      </c>
      <c r="O25" s="31">
        <v>3084.97904534639</v>
      </c>
      <c r="P25" s="33"/>
      <c r="Q25" s="33">
        <f>MIN(15,IF(P25/O25&lt;0.6,0,P25/O25*15))</f>
        <v>0</v>
      </c>
      <c r="R25" s="31">
        <v>497.974227317195</v>
      </c>
      <c r="S25" s="38">
        <f>VLOOKUP(B25,[1]自有品牌手机收入!$F$2:$G$23,2,0)/10000</f>
        <v>132.765017000001</v>
      </c>
      <c r="T25" s="20">
        <f t="shared" si="6"/>
        <v>1.08125254830671</v>
      </c>
      <c r="U25" s="32">
        <f t="shared" si="7"/>
        <v>0.0200348749249424</v>
      </c>
      <c r="V25" s="39">
        <v>174.290979561018</v>
      </c>
      <c r="W25" s="33">
        <f t="shared" si="8"/>
        <v>132.765017000001</v>
      </c>
      <c r="X25" s="33">
        <f t="shared" si="9"/>
        <v>11.426152173887</v>
      </c>
      <c r="Y25" s="31">
        <v>2423.98243766604</v>
      </c>
      <c r="Z25" s="38">
        <f>VLOOKUP(B25,'[1]自有品牌智能硬件收入（已加配额制摊分）'!$H$2:$I$23,2,0)/10000</f>
        <v>1673.69101203448</v>
      </c>
      <c r="AA25" s="20">
        <f t="shared" si="10"/>
        <v>2.8002458997498</v>
      </c>
      <c r="AB25" s="32">
        <f t="shared" si="11"/>
        <v>0.443896249253375</v>
      </c>
      <c r="AC25" s="31">
        <v>848.393853183114</v>
      </c>
      <c r="AD25" s="33">
        <f t="shared" si="12"/>
        <v>1673.69101203448</v>
      </c>
      <c r="AE25" s="38">
        <f t="shared" si="13"/>
        <v>10</v>
      </c>
      <c r="AF25" s="31">
        <v>383.651544649279</v>
      </c>
      <c r="AG25" s="38">
        <f>VLOOKUP(B25,[1]非配额自有品牌智能硬件收入!$G$2:$H$23,2,0)/10000</f>
        <v>5.002331</v>
      </c>
      <c r="AH25" s="38">
        <f t="shared" si="14"/>
        <v>0.0528793160374831</v>
      </c>
      <c r="AI25" s="32">
        <f t="shared" si="15"/>
        <v>-0.233536607004456</v>
      </c>
      <c r="AJ25" s="50">
        <v>134.278040627248</v>
      </c>
      <c r="AK25" s="38">
        <f t="shared" si="16"/>
        <v>5.002331</v>
      </c>
      <c r="AL25" s="38">
        <f t="shared" si="17"/>
        <v>0</v>
      </c>
      <c r="AM25" s="48" t="s">
        <v>84</v>
      </c>
      <c r="AN25" s="49">
        <v>5.60207265174686</v>
      </c>
      <c r="AO25" s="61">
        <v>10</v>
      </c>
      <c r="AP25" s="61">
        <v>10</v>
      </c>
      <c r="AQ25" s="62">
        <f>VLOOKUP(B25,[1]渠道类指标!$B$2:$F$22,5,0)</f>
        <v>12</v>
      </c>
      <c r="AR25" s="63">
        <f t="shared" si="18"/>
        <v>1.2</v>
      </c>
      <c r="AS25" s="20">
        <f t="shared" si="19"/>
        <v>8</v>
      </c>
      <c r="AT25" s="64">
        <v>8374.6</v>
      </c>
      <c r="AU25" s="64">
        <v>2931</v>
      </c>
      <c r="AV25" s="65">
        <f>VLOOKUP(B25,[1]渠道类指标!$B$2:$F$22,4,0)</f>
        <v>5151</v>
      </c>
      <c r="AW25" s="63">
        <f t="shared" si="20"/>
        <v>1.75742067553736</v>
      </c>
      <c r="AX25" s="20">
        <f t="shared" si="21"/>
        <v>8</v>
      </c>
      <c r="AY25" s="70">
        <v>0.32</v>
      </c>
      <c r="AZ25" s="70">
        <v>0.096</v>
      </c>
      <c r="BA25" s="70"/>
      <c r="BB25" s="33">
        <f t="shared" si="22"/>
        <v>0</v>
      </c>
      <c r="BC25" s="71"/>
      <c r="BD25" s="33">
        <f t="shared" si="23"/>
        <v>0</v>
      </c>
      <c r="BE25" s="19">
        <v>0.025</v>
      </c>
      <c r="BF25" s="19">
        <v>0.025</v>
      </c>
      <c r="BG25" s="78"/>
      <c r="BH25" s="33">
        <f t="shared" si="24"/>
        <v>0</v>
      </c>
      <c r="BI25" s="79">
        <f t="shared" si="25"/>
        <v>0</v>
      </c>
      <c r="BJ25" s="80"/>
      <c r="BK25" s="81"/>
      <c r="BL25" s="82"/>
      <c r="BM25" s="88"/>
      <c r="BN25" s="92"/>
      <c r="BO25" s="93">
        <v>174.290979561018</v>
      </c>
      <c r="BP25" s="2"/>
      <c r="BQ25" s="93">
        <v>0.89</v>
      </c>
      <c r="BR25" s="2"/>
      <c r="BS25" s="2"/>
      <c r="BT25" s="2"/>
    </row>
    <row r="26" spans="1:72">
      <c r="A26" s="17" t="s">
        <v>105</v>
      </c>
      <c r="B26" s="18" t="s">
        <v>110</v>
      </c>
      <c r="C26" s="19">
        <v>0.048</v>
      </c>
      <c r="D26" s="18"/>
      <c r="E26" s="18">
        <f t="shared" si="0"/>
        <v>0</v>
      </c>
      <c r="F26" s="20">
        <f t="shared" si="1"/>
        <v>0</v>
      </c>
      <c r="G26" s="19">
        <v>0.02</v>
      </c>
      <c r="H26" s="18"/>
      <c r="I26" s="18">
        <f t="shared" si="2"/>
        <v>0</v>
      </c>
      <c r="J26" s="20">
        <f t="shared" si="3"/>
        <v>0</v>
      </c>
      <c r="K26" s="31">
        <v>4812.78124023069</v>
      </c>
      <c r="L26" s="32"/>
      <c r="M26" s="20">
        <f t="shared" si="4"/>
        <v>0</v>
      </c>
      <c r="N26" s="32">
        <f t="shared" si="5"/>
        <v>-0.246575342465753</v>
      </c>
      <c r="O26" s="31">
        <v>1684.47343408074</v>
      </c>
      <c r="P26" s="33"/>
      <c r="Q26" s="33">
        <f>MIN(15,IF(P26/O26&lt;0.6,0,P26/O26*15))</f>
        <v>0</v>
      </c>
      <c r="R26" s="31">
        <v>508.914388226003</v>
      </c>
      <c r="S26" s="38">
        <f>VLOOKUP(B26,[1]自有品牌手机收入!$F$2:$G$23,2,0)/10000</f>
        <v>127.63379</v>
      </c>
      <c r="T26" s="20">
        <f t="shared" si="6"/>
        <v>1.01711788482828</v>
      </c>
      <c r="U26" s="32">
        <f t="shared" si="7"/>
        <v>0.00422084831382313</v>
      </c>
      <c r="V26" s="39">
        <v>178.120035879101</v>
      </c>
      <c r="W26" s="33">
        <f t="shared" si="8"/>
        <v>127.63379</v>
      </c>
      <c r="X26" s="33">
        <f t="shared" si="9"/>
        <v>10.7484081762676</v>
      </c>
      <c r="Y26" s="31">
        <v>1488.57457603803</v>
      </c>
      <c r="Z26" s="38">
        <f>VLOOKUP(B26,'[1]自有品牌智能硬件收入（已加配额制摊分）'!$H$2:$I$23,2,0)/10000</f>
        <v>599.136461172414</v>
      </c>
      <c r="AA26" s="20">
        <f t="shared" si="10"/>
        <v>1.6323207736833</v>
      </c>
      <c r="AB26" s="32">
        <f t="shared" si="11"/>
        <v>0.155914711319169</v>
      </c>
      <c r="AC26" s="31">
        <v>521.00110161331</v>
      </c>
      <c r="AD26" s="33">
        <f t="shared" si="12"/>
        <v>599.136461172414</v>
      </c>
      <c r="AE26" s="38">
        <f t="shared" si="13"/>
        <v>10</v>
      </c>
      <c r="AF26" s="31">
        <v>233.79362528157</v>
      </c>
      <c r="AG26" s="38">
        <f>VLOOKUP(B26,[1]非配额自有品牌智能硬件收入!$G$2:$H$23,2,0)/10000</f>
        <v>3.196806</v>
      </c>
      <c r="AH26" s="38">
        <f t="shared" si="14"/>
        <v>0.0554541395973442</v>
      </c>
      <c r="AI26" s="32">
        <f t="shared" si="15"/>
        <v>-0.232901719003395</v>
      </c>
      <c r="AJ26" s="50">
        <v>81.8277688485493</v>
      </c>
      <c r="AK26" s="38">
        <f t="shared" si="16"/>
        <v>3.196806</v>
      </c>
      <c r="AL26" s="38">
        <f t="shared" si="17"/>
        <v>0</v>
      </c>
      <c r="AM26" s="48" t="s">
        <v>84</v>
      </c>
      <c r="AN26" s="49">
        <v>5.90856241917767</v>
      </c>
      <c r="AO26" s="61">
        <v>16</v>
      </c>
      <c r="AP26" s="61">
        <v>16</v>
      </c>
      <c r="AQ26" s="62">
        <f>VLOOKUP(B26,[1]渠道类指标!$B$2:$F$22,5,0)</f>
        <v>19</v>
      </c>
      <c r="AR26" s="63">
        <f t="shared" si="18"/>
        <v>1.1875</v>
      </c>
      <c r="AS26" s="20">
        <f t="shared" si="19"/>
        <v>8</v>
      </c>
      <c r="AT26" s="64">
        <v>8260.824</v>
      </c>
      <c r="AU26" s="64">
        <v>2891</v>
      </c>
      <c r="AV26" s="65">
        <f>VLOOKUP(B26,[1]渠道类指标!$B$2:$F$22,4,0)</f>
        <v>1886</v>
      </c>
      <c r="AW26" s="63">
        <f t="shared" si="20"/>
        <v>0.652369422345209</v>
      </c>
      <c r="AX26" s="20">
        <f t="shared" si="21"/>
        <v>0</v>
      </c>
      <c r="AY26" s="70">
        <v>0.26</v>
      </c>
      <c r="AZ26" s="70">
        <v>0.078</v>
      </c>
      <c r="BA26" s="70"/>
      <c r="BB26" s="33">
        <f t="shared" si="22"/>
        <v>0</v>
      </c>
      <c r="BC26" s="71"/>
      <c r="BD26" s="33">
        <f t="shared" si="23"/>
        <v>0</v>
      </c>
      <c r="BE26" s="19">
        <v>0.025</v>
      </c>
      <c r="BF26" s="19">
        <v>0.025</v>
      </c>
      <c r="BG26" s="78"/>
      <c r="BH26" s="33">
        <f t="shared" si="24"/>
        <v>0</v>
      </c>
      <c r="BI26" s="79">
        <f t="shared" si="25"/>
        <v>0</v>
      </c>
      <c r="BJ26" s="80"/>
      <c r="BK26" s="81"/>
      <c r="BL26" s="82"/>
      <c r="BM26" s="88"/>
      <c r="BN26" s="92"/>
      <c r="BO26" s="93">
        <v>178.120035879101</v>
      </c>
      <c r="BP26" s="2"/>
      <c r="BQ26" s="93">
        <v>0.51</v>
      </c>
      <c r="BR26" s="2"/>
      <c r="BS26" s="2"/>
      <c r="BT26" s="2"/>
    </row>
    <row r="27" spans="1:72">
      <c r="A27" s="17" t="s">
        <v>105</v>
      </c>
      <c r="B27" s="18" t="s">
        <v>111</v>
      </c>
      <c r="C27" s="21">
        <v>0.048</v>
      </c>
      <c r="D27" s="18"/>
      <c r="E27" s="18">
        <f t="shared" si="0"/>
        <v>0</v>
      </c>
      <c r="F27" s="20">
        <f t="shared" si="1"/>
        <v>0</v>
      </c>
      <c r="G27" s="21">
        <v>0.02</v>
      </c>
      <c r="H27" s="18"/>
      <c r="I27" s="18">
        <f t="shared" si="2"/>
        <v>0</v>
      </c>
      <c r="J27" s="20">
        <f t="shared" si="3"/>
        <v>0</v>
      </c>
      <c r="K27" s="31">
        <f>SUM(K22:K26)</f>
        <v>68561.1795118625</v>
      </c>
      <c r="L27" s="32"/>
      <c r="M27" s="20">
        <f t="shared" si="4"/>
        <v>0</v>
      </c>
      <c r="N27" s="32">
        <f t="shared" si="5"/>
        <v>-0.246575342465753</v>
      </c>
      <c r="O27" s="31">
        <f>SUM(O22:O26)</f>
        <v>23996.4128291519</v>
      </c>
      <c r="P27" s="33"/>
      <c r="Q27" s="31">
        <f>SUM(Q22:Q26)</f>
        <v>0</v>
      </c>
      <c r="R27" s="31">
        <v>3547.10374082094</v>
      </c>
      <c r="S27" s="38">
        <f>SUM(S22:S26)</f>
        <v>354.643264000001</v>
      </c>
      <c r="T27" s="20">
        <f t="shared" si="6"/>
        <v>0.40547882572577</v>
      </c>
      <c r="U27" s="32">
        <f t="shared" si="7"/>
        <v>-0.14659426214981</v>
      </c>
      <c r="V27" s="39">
        <v>1241.48630928733</v>
      </c>
      <c r="W27" s="33">
        <f t="shared" si="8"/>
        <v>354.643264000001</v>
      </c>
      <c r="X27" s="33">
        <f t="shared" si="9"/>
        <v>0</v>
      </c>
      <c r="Y27" s="31">
        <f>SUM(Y22:Y26)</f>
        <v>16286.5693793577</v>
      </c>
      <c r="Z27" s="38">
        <f>SUM(Z22:Z26)</f>
        <v>8177.73794851724</v>
      </c>
      <c r="AA27" s="20">
        <f t="shared" si="10"/>
        <v>2.03635706185132</v>
      </c>
      <c r="AB27" s="32">
        <f t="shared" si="11"/>
        <v>0.255540097442791</v>
      </c>
      <c r="AC27" s="31">
        <f>SUM(AC22:AC26)</f>
        <v>5700.29928277521</v>
      </c>
      <c r="AD27" s="33">
        <f t="shared" si="12"/>
        <v>8177.73794851724</v>
      </c>
      <c r="AE27" s="38">
        <f t="shared" si="13"/>
        <v>10</v>
      </c>
      <c r="AF27" s="31">
        <f>SUM(AF22:AF26)</f>
        <v>2702.77723940077</v>
      </c>
      <c r="AG27" s="50">
        <f>SUM(AG22:AG26)</f>
        <v>250.922233000001</v>
      </c>
      <c r="AH27" s="38">
        <f t="shared" si="14"/>
        <v>0.376512367064767</v>
      </c>
      <c r="AI27" s="32">
        <f t="shared" si="15"/>
        <v>-0.153736676614167</v>
      </c>
      <c r="AJ27" s="50">
        <f>SUM(AJ22:AJ26)</f>
        <v>945.972033790269</v>
      </c>
      <c r="AK27" s="38">
        <f t="shared" si="16"/>
        <v>250.922233000001</v>
      </c>
      <c r="AL27" s="38">
        <f t="shared" si="17"/>
        <v>0</v>
      </c>
      <c r="AM27" s="48" t="s">
        <v>84</v>
      </c>
      <c r="AN27" s="51">
        <f>SUM(AN22:AN26)</f>
        <v>21.0873583304812</v>
      </c>
      <c r="AO27" s="61">
        <f>SUM(AO22:AO26)</f>
        <v>93</v>
      </c>
      <c r="AP27" s="61">
        <f>SUM(AP22:AP26)</f>
        <v>93</v>
      </c>
      <c r="AQ27" s="61">
        <f>SUM(AQ22:AQ26)</f>
        <v>132</v>
      </c>
      <c r="AR27" s="63">
        <f t="shared" si="18"/>
        <v>1.41935483870968</v>
      </c>
      <c r="AS27" s="20">
        <f t="shared" si="19"/>
        <v>8</v>
      </c>
      <c r="AT27" s="64">
        <f>SUM(AT22:AT26)</f>
        <v>94463.2598</v>
      </c>
      <c r="AU27" s="64">
        <f>SUM(AU22:AU26)</f>
        <v>33062</v>
      </c>
      <c r="AV27" s="64">
        <f>SUM(AV22:AV26)</f>
        <v>39330</v>
      </c>
      <c r="AW27" s="63">
        <f t="shared" si="20"/>
        <v>1.18958320730748</v>
      </c>
      <c r="AX27" s="20">
        <f t="shared" si="21"/>
        <v>8</v>
      </c>
      <c r="AY27" s="70">
        <f>SUM(AY22:AY26)</f>
        <v>3.2</v>
      </c>
      <c r="AZ27" s="70">
        <f>SUM(AZ22:AZ26)</f>
        <v>0.96</v>
      </c>
      <c r="BA27" s="70"/>
      <c r="BB27" s="33">
        <f t="shared" si="22"/>
        <v>0</v>
      </c>
      <c r="BC27" s="71"/>
      <c r="BD27" s="33">
        <f t="shared" si="23"/>
        <v>0</v>
      </c>
      <c r="BE27" s="21">
        <v>0.025</v>
      </c>
      <c r="BF27" s="21">
        <v>0.025</v>
      </c>
      <c r="BG27" s="78"/>
      <c r="BH27" s="33">
        <f t="shared" si="24"/>
        <v>0</v>
      </c>
      <c r="BI27" s="79">
        <f t="shared" si="25"/>
        <v>0</v>
      </c>
      <c r="BJ27" s="83"/>
      <c r="BK27" s="81"/>
      <c r="BL27" s="82"/>
      <c r="BM27" s="88"/>
      <c r="BN27" s="92"/>
      <c r="BO27" s="93">
        <v>1241.48630928733</v>
      </c>
      <c r="BP27" s="2"/>
      <c r="BQ27" s="93">
        <f>SUM(BQ22:BQ26)</f>
        <v>6.5</v>
      </c>
      <c r="BR27" s="2"/>
      <c r="BS27" s="2"/>
      <c r="BT27" s="2"/>
    </row>
    <row r="28" ht="15.75" spans="1:72">
      <c r="A28" s="18" t="s">
        <v>112</v>
      </c>
      <c r="B28" s="18" t="s">
        <v>113</v>
      </c>
      <c r="C28" s="21">
        <v>0.04</v>
      </c>
      <c r="D28" s="18"/>
      <c r="E28" s="18">
        <f t="shared" si="0"/>
        <v>0</v>
      </c>
      <c r="F28" s="20">
        <f t="shared" si="1"/>
        <v>0</v>
      </c>
      <c r="G28" s="21">
        <v>0.02</v>
      </c>
      <c r="H28" s="18"/>
      <c r="I28" s="18">
        <f t="shared" si="2"/>
        <v>0</v>
      </c>
      <c r="J28" s="20">
        <f t="shared" si="3"/>
        <v>0</v>
      </c>
      <c r="K28" s="34">
        <f>K27+K21+K15+K8</f>
        <v>501115</v>
      </c>
      <c r="L28" s="32"/>
      <c r="M28" s="20">
        <f t="shared" si="4"/>
        <v>0</v>
      </c>
      <c r="N28" s="32">
        <f t="shared" si="5"/>
        <v>-0.246575342465753</v>
      </c>
      <c r="O28" s="34"/>
      <c r="P28" s="33"/>
      <c r="Q28" s="34">
        <f>Q27+Q21+Q15+Q8</f>
        <v>0</v>
      </c>
      <c r="R28" s="34">
        <f>R27+R21+R15+R8</f>
        <v>15000</v>
      </c>
      <c r="S28" s="38">
        <f>S8+S15+S21+S27</f>
        <v>1570.864753</v>
      </c>
      <c r="T28" s="20">
        <f t="shared" si="6"/>
        <v>0.424715285070371</v>
      </c>
      <c r="U28" s="32">
        <f t="shared" si="7"/>
        <v>-0.141851025599087</v>
      </c>
      <c r="V28" s="39">
        <v>5250</v>
      </c>
      <c r="W28" s="33">
        <f t="shared" si="8"/>
        <v>1570.864753</v>
      </c>
      <c r="X28" s="34">
        <f>X27+X21+X15+X8</f>
        <v>0</v>
      </c>
      <c r="Y28" s="34">
        <f>Y27+Y21+Y15+Y8</f>
        <v>67351.9</v>
      </c>
      <c r="Z28" s="38">
        <f>Z8+Z15+Z21+Z27</f>
        <v>30874.8001969655</v>
      </c>
      <c r="AA28" s="20">
        <f t="shared" si="10"/>
        <v>1.85910816867039</v>
      </c>
      <c r="AB28" s="32">
        <f t="shared" si="11"/>
        <v>0.211834890905028</v>
      </c>
      <c r="AC28" s="34">
        <f>AC27+AC21+AC15+AC8</f>
        <v>23573.165</v>
      </c>
      <c r="AD28" s="33">
        <f t="shared" si="12"/>
        <v>30874.8001969655</v>
      </c>
      <c r="AE28" s="43">
        <f>AE27+AE21+AE15+AE8</f>
        <v>40</v>
      </c>
      <c r="AF28" s="34">
        <f>AF27+AF21+AF15+AF8</f>
        <v>11768.1</v>
      </c>
      <c r="AG28" s="43">
        <f>AG27+AG21+AG15+AG8</f>
        <v>995.065179000004</v>
      </c>
      <c r="AH28" s="38">
        <f t="shared" si="14"/>
        <v>0.342922146721506</v>
      </c>
      <c r="AI28" s="32">
        <f t="shared" si="15"/>
        <v>-0.162019196698807</v>
      </c>
      <c r="AJ28" s="43">
        <f>AJ27+AJ21+AJ15+AJ8</f>
        <v>4118.835</v>
      </c>
      <c r="AK28" s="38">
        <f t="shared" si="16"/>
        <v>995.065179000004</v>
      </c>
      <c r="AL28" s="43">
        <f>AL27+AL21+AL15+AL8</f>
        <v>0</v>
      </c>
      <c r="AM28" s="52"/>
      <c r="AN28" s="53">
        <f>AN27+AN21+AN15+AN8</f>
        <v>72.0588221268832</v>
      </c>
      <c r="AO28" s="61">
        <f>AO27+AO21+AO15+AO8</f>
        <v>551</v>
      </c>
      <c r="AP28" s="61">
        <f>AP27+AP21+AP15+AP8</f>
        <v>551</v>
      </c>
      <c r="AQ28" s="61">
        <f>AQ27+AQ21+AQ15+AQ8</f>
        <v>829</v>
      </c>
      <c r="AR28" s="63">
        <f t="shared" si="18"/>
        <v>1.50453720508167</v>
      </c>
      <c r="AS28" s="20">
        <f t="shared" si="19"/>
        <v>8</v>
      </c>
      <c r="AT28" s="64">
        <f>AT27+AT21+AT15+AT8</f>
        <v>780297.5341</v>
      </c>
      <c r="AU28" s="64">
        <f>AU27+AU21+AU15+AU8</f>
        <v>273105</v>
      </c>
      <c r="AV28" s="64">
        <f>AV27+AV21+AV15+AV8</f>
        <v>123875</v>
      </c>
      <c r="AW28" s="63">
        <f t="shared" si="20"/>
        <v>0.453580124860402</v>
      </c>
      <c r="AX28" s="20">
        <f t="shared" si="21"/>
        <v>0</v>
      </c>
      <c r="AY28" s="70">
        <f>AY27+AY21+AY15+AY8</f>
        <v>12.24</v>
      </c>
      <c r="AZ28" s="70">
        <f>AZ27+AZ21+AZ15+AZ8</f>
        <v>3.672</v>
      </c>
      <c r="BA28" s="70"/>
      <c r="BB28" s="33">
        <f t="shared" si="22"/>
        <v>0</v>
      </c>
      <c r="BC28" s="71"/>
      <c r="BD28" s="33">
        <f t="shared" si="23"/>
        <v>0</v>
      </c>
      <c r="BE28" s="21">
        <v>0.025</v>
      </c>
      <c r="BF28" s="21">
        <v>0.025</v>
      </c>
      <c r="BG28" s="78"/>
      <c r="BH28" s="33">
        <f t="shared" si="24"/>
        <v>0</v>
      </c>
      <c r="BI28" s="79">
        <f t="shared" si="25"/>
        <v>0</v>
      </c>
      <c r="BJ28" s="84"/>
      <c r="BK28" s="81"/>
      <c r="BL28" s="82"/>
      <c r="BM28" s="94"/>
      <c r="BN28" s="92"/>
      <c r="BO28" s="95">
        <v>5250</v>
      </c>
      <c r="BP28" s="2"/>
      <c r="BQ28" s="95">
        <f>BQ27+BQ21+BQ15+BQ8</f>
        <v>29.99</v>
      </c>
      <c r="BR28" s="2"/>
      <c r="BS28" s="2"/>
      <c r="BT28" s="2"/>
    </row>
    <row r="29" ht="18.75" spans="1:72">
      <c r="A29" s="22" t="s">
        <v>114</v>
      </c>
      <c r="B29" s="23" t="s">
        <v>114</v>
      </c>
      <c r="C29" s="24"/>
      <c r="D29" s="25"/>
      <c r="E29" s="25"/>
      <c r="F29" s="25">
        <v>10</v>
      </c>
      <c r="G29" s="24"/>
      <c r="H29" s="25"/>
      <c r="I29" s="25"/>
      <c r="J29" s="25">
        <v>10</v>
      </c>
      <c r="K29" s="24"/>
      <c r="L29" s="25"/>
      <c r="M29" s="25"/>
      <c r="N29" s="25"/>
      <c r="O29" s="25"/>
      <c r="P29" s="25"/>
      <c r="Q29" s="25">
        <v>15</v>
      </c>
      <c r="R29" s="40"/>
      <c r="S29" s="41"/>
      <c r="T29" s="41"/>
      <c r="U29" s="41"/>
      <c r="V29" s="41"/>
      <c r="W29" s="41"/>
      <c r="X29" s="41">
        <v>15</v>
      </c>
      <c r="Y29" s="44"/>
      <c r="Z29" s="41"/>
      <c r="AA29" s="41"/>
      <c r="AB29" s="41"/>
      <c r="AC29" s="41"/>
      <c r="AD29" s="41"/>
      <c r="AE29" s="41">
        <v>10</v>
      </c>
      <c r="AF29" s="44"/>
      <c r="AG29" s="41"/>
      <c r="AH29" s="41"/>
      <c r="AI29" s="41"/>
      <c r="AJ29" s="41"/>
      <c r="AK29" s="41"/>
      <c r="AL29" s="41">
        <v>10</v>
      </c>
      <c r="AM29" s="44"/>
      <c r="AN29" s="41">
        <v>9</v>
      </c>
      <c r="AO29" s="44"/>
      <c r="AP29" s="41"/>
      <c r="AQ29" s="41"/>
      <c r="AR29" s="41"/>
      <c r="AS29" s="41">
        <v>8</v>
      </c>
      <c r="AT29" s="44"/>
      <c r="AU29" s="25"/>
      <c r="AV29" s="25"/>
      <c r="AW29" s="25"/>
      <c r="AX29" s="25">
        <v>8</v>
      </c>
      <c r="AY29" s="40"/>
      <c r="AZ29" s="25"/>
      <c r="BA29" s="25"/>
      <c r="BB29" s="25">
        <v>5</v>
      </c>
      <c r="BC29" s="44"/>
      <c r="BD29" s="72">
        <v>5</v>
      </c>
      <c r="BE29" s="85"/>
      <c r="BF29" s="25"/>
      <c r="BG29" s="25"/>
      <c r="BH29" s="72">
        <v>3</v>
      </c>
      <c r="BI29" s="44"/>
      <c r="BJ29" s="72">
        <v>5</v>
      </c>
      <c r="BK29" s="86"/>
      <c r="BL29" s="25">
        <v>2</v>
      </c>
      <c r="BM29" s="25">
        <v>-10</v>
      </c>
      <c r="BN29" s="96"/>
      <c r="BO29" s="24"/>
      <c r="BP29" s="24"/>
      <c r="BQ29" s="24"/>
      <c r="BR29" s="24"/>
      <c r="BS29" s="24"/>
      <c r="BT29" s="2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2019地市KPI导入模板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revision>3</cp:revision>
  <dcterms:created xsi:type="dcterms:W3CDTF">2019-04-16T10:18:00Z</dcterms:created>
  <dcterms:modified xsi:type="dcterms:W3CDTF">2019-05-16T09:31:04Z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